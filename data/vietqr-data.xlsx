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_qr" sheetId="1" r:id="rId5"/>
    <sheet state="visible" name="TaiKhoan" sheetId="2" r:id="rId6"/>
    <sheet state="visible" name="MauChuyenTien" sheetId="3" r:id="rId7"/>
    <sheet state="visible" name="MauHienThi" sheetId="4" r:id="rId8"/>
    <sheet state="visible" name="Banks" sheetId="5" r:id="rId9"/>
  </sheets>
  <definedNames>
    <definedName hidden="1" localSheetId="4" name="_xlnm._FilterDatabase">Banks!$A$1:$Z$66</definedName>
  </definedNames>
  <calcPr/>
</workbook>
</file>

<file path=xl/sharedStrings.xml><?xml version="1.0" encoding="utf-8"?>
<sst xmlns="http://schemas.openxmlformats.org/spreadsheetml/2006/main" count="477" uniqueCount="363">
  <si>
    <t>name</t>
  </si>
  <si>
    <t>value</t>
  </si>
  <si>
    <t>stt</t>
  </si>
  <si>
    <t>accountName</t>
  </si>
  <si>
    <t>id</t>
  </si>
  <si>
    <t>accountNum</t>
  </si>
  <si>
    <t>amount</t>
  </si>
  <si>
    <t>content</t>
  </si>
  <si>
    <t>label</t>
  </si>
  <si>
    <t>template</t>
  </si>
  <si>
    <t>qr_link</t>
  </si>
  <si>
    <t>default</t>
  </si>
  <si>
    <t>Techcombank</t>
  </si>
  <si>
    <t>list_name</t>
  </si>
  <si>
    <t>name_ac</t>
  </si>
  <si>
    <t>data_num</t>
  </si>
  <si>
    <t>data__code</t>
  </si>
  <si>
    <t>data__short_name</t>
  </si>
  <si>
    <t>data__bin</t>
  </si>
  <si>
    <t>data__logo</t>
  </si>
  <si>
    <t>vietqr_link</t>
  </si>
  <si>
    <t>hidden</t>
  </si>
  <si>
    <t>isDefault</t>
  </si>
  <si>
    <t>compact</t>
  </si>
  <si>
    <t>Compact</t>
  </si>
  <si>
    <t xml:space="preserve">GRAB </t>
  </si>
  <si>
    <t>compact2</t>
  </si>
  <si>
    <t>Vietcombank</t>
  </si>
  <si>
    <t>Compact 2</t>
  </si>
  <si>
    <t>Huynh Tran Tuan Kiet</t>
  </si>
  <si>
    <t>1031451081</t>
  </si>
  <si>
    <t>print</t>
  </si>
  <si>
    <t>Print</t>
  </si>
  <si>
    <t>qr_only</t>
  </si>
  <si>
    <t>Qr_only</t>
  </si>
  <si>
    <t>BdT8CDO</t>
  </si>
  <si>
    <t>VietQR plus</t>
  </si>
  <si>
    <t>9246061 HUYNH TRAN TUAN KIET</t>
  </si>
  <si>
    <t>VIETLOT SMS</t>
  </si>
  <si>
    <t>Viettel Money</t>
  </si>
  <si>
    <t>Tuan Kiet Chuyen Tien</t>
  </si>
  <si>
    <t>44699999999</t>
  </si>
  <si>
    <t>VIetcombank</t>
  </si>
  <si>
    <t>https://cdn.vietqr.io/img/TCB.png</t>
  </si>
  <si>
    <t>9704229201938102578</t>
  </si>
  <si>
    <t>https://cdn.vietqr.io/img/MB.png</t>
  </si>
  <si>
    <t>Duy Khoi - ICB</t>
  </si>
  <si>
    <t>Phan Le Duy Khoi</t>
  </si>
  <si>
    <t>105878043349</t>
  </si>
  <si>
    <t>https://cdn.vietqr.io/img/ICB.png</t>
  </si>
  <si>
    <t>SHOPEE PAY</t>
  </si>
  <si>
    <t>ShopeePay  HUYNH TRAN TUAN KIET</t>
  </si>
  <si>
    <t>SPAY126223392538231</t>
  </si>
  <si>
    <t>https://cdn.vietqr.io/img/VCB.png</t>
  </si>
  <si>
    <t>MOMO0396105653</t>
  </si>
  <si>
    <t>PSP2605516100000204</t>
  </si>
  <si>
    <t>https://cdn.vietqr.io/img/momo.png</t>
  </si>
  <si>
    <t>CONG TY TNHH GRAB</t>
  </si>
  <si>
    <t>150010000111</t>
  </si>
  <si>
    <t>VP BANK</t>
  </si>
  <si>
    <t>4681010052004</t>
  </si>
  <si>
    <t>https://cdn.vietqr.io/img/VPB.png</t>
  </si>
  <si>
    <t>VIB - 052004</t>
  </si>
  <si>
    <t>HUYNH TRAN TUAN KIET</t>
  </si>
  <si>
    <t>052004</t>
  </si>
  <si>
    <t>https://cdn.vietqr.io/img/VIB.png</t>
  </si>
  <si>
    <t>MOMO _ 0899982103</t>
  </si>
  <si>
    <t>PSP2623411000000071</t>
  </si>
  <si>
    <t>TTT - MOMO</t>
  </si>
  <si>
    <t>MoMo - TKTH Huynh Tran Tuan Kiet</t>
  </si>
  <si>
    <t>01MMTTT0075996061</t>
  </si>
  <si>
    <t>OCB</t>
  </si>
  <si>
    <t>0582118210</t>
  </si>
  <si>
    <t>code</t>
  </si>
  <si>
    <t>bin</t>
  </si>
  <si>
    <t>shortName</t>
  </si>
  <si>
    <t>logo</t>
  </si>
  <si>
    <t>transferSupported</t>
  </si>
  <si>
    <t>lookupSupported</t>
  </si>
  <si>
    <t>short_name</t>
  </si>
  <si>
    <t>support</t>
  </si>
  <si>
    <t>isTransfer</t>
  </si>
  <si>
    <t>swift_code</t>
  </si>
  <si>
    <t>Ngân hàng TMCP An Bình</t>
  </si>
  <si>
    <t>ABB</t>
  </si>
  <si>
    <t>ABBANK</t>
  </si>
  <si>
    <r>
      <rPr>
        <rFont val="Calibri"/>
        <color rgb="FF1155CC"/>
        <sz val="11.0"/>
        <u/>
      </rPr>
      <t>https://cdn.vietqr.io/img/ABB.png</t>
    </r>
  </si>
  <si>
    <t>ABBKVNVX</t>
  </si>
  <si>
    <t>Ngân hàng TMCP Á Châu</t>
  </si>
  <si>
    <t>ACB</t>
  </si>
  <si>
    <r>
      <rPr>
        <rFont val="Calibri"/>
        <color rgb="FF1155CC"/>
        <sz val="11.0"/>
        <u/>
      </rPr>
      <t>https://cdn.vietqr.io/img/ACB.png</t>
    </r>
  </si>
  <si>
    <t>ASCBVNVX</t>
  </si>
  <si>
    <t>Ngân hàng TMCP Bắc Á</t>
  </si>
  <si>
    <t>BAB</t>
  </si>
  <si>
    <t>BacABank</t>
  </si>
  <si>
    <r>
      <rPr>
        <rFont val="Calibri"/>
        <color rgb="FF1155CC"/>
        <sz val="11.0"/>
        <u/>
      </rPr>
      <t>https://cdn.vietqr.io/img/BAB.png</t>
    </r>
  </si>
  <si>
    <t>NASCVNVX</t>
  </si>
  <si>
    <t>Ngân hàng TMCP Đầu tư và Phát triển Việt Nam</t>
  </si>
  <si>
    <t>BIDV</t>
  </si>
  <si>
    <r>
      <rPr>
        <rFont val="Calibri"/>
        <color rgb="FF1155CC"/>
        <sz val="11.0"/>
        <u/>
      </rPr>
      <t>https://cdn.vietqr.io/img/BIDV.png</t>
    </r>
  </si>
  <si>
    <t>BIDVVNVX</t>
  </si>
  <si>
    <t>Ngân hàng TMCP Bảo Việt</t>
  </si>
  <si>
    <t>BVB</t>
  </si>
  <si>
    <t>BaoVietBank</t>
  </si>
  <si>
    <r>
      <rPr>
        <rFont val="Calibri"/>
        <color rgb="FF1155CC"/>
        <sz val="11.0"/>
        <u/>
      </rPr>
      <t>https://cdn.vietqr.io/img/BVB.png</t>
    </r>
  </si>
  <si>
    <t>BVBVVNVX</t>
  </si>
  <si>
    <t>Ngân hàng Thương mại TNHH MTV Xây dựng Việt Nam</t>
  </si>
  <si>
    <t>CBB</t>
  </si>
  <si>
    <t>CBBank</t>
  </si>
  <si>
    <r>
      <rPr>
        <rFont val="Calibri"/>
        <color rgb="FF1155CC"/>
        <sz val="11.0"/>
        <u/>
      </rPr>
      <t>https://cdn.vietqr.io/img/CBB.png</t>
    </r>
  </si>
  <si>
    <t>GTBAVNVX</t>
  </si>
  <si>
    <t>Ngân hàng TNHH MTV CIMB Việt Nam</t>
  </si>
  <si>
    <t>CIMB</t>
  </si>
  <si>
    <r>
      <rPr>
        <rFont val="Calibri"/>
        <color rgb="FF1155CC"/>
        <sz val="11.0"/>
        <u/>
      </rPr>
      <t>https://cdn.vietqr.io/img/CIMB.png</t>
    </r>
  </si>
  <si>
    <t>CIBBVNVN</t>
  </si>
  <si>
    <t>DBS Bank Ltd - Chi nhánh Thành phố Hồ Chí Minh</t>
  </si>
  <si>
    <t>DBS</t>
  </si>
  <si>
    <t>DBSBank</t>
  </si>
  <si>
    <r>
      <rPr>
        <rFont val="Calibri"/>
        <color rgb="FF1155CC"/>
        <sz val="11.0"/>
        <u/>
      </rPr>
      <t>https://cdn.vietqr.io/img/DBS.png</t>
    </r>
  </si>
  <si>
    <t>DBSSVNVX</t>
  </si>
  <si>
    <t>Ngân hàng TNHH MTV Số Vikki</t>
  </si>
  <si>
    <t>Vikki</t>
  </si>
  <si>
    <r>
      <rPr>
        <rFont val="Calibri"/>
        <color rgb="FF1155CC"/>
        <sz val="11.0"/>
        <u/>
      </rPr>
      <t>https://cdn.vietqr.io/img/Vikki.png</t>
    </r>
  </si>
  <si>
    <t>EACBVNVX</t>
  </si>
  <si>
    <t>Ngân hàng TMCP Xuất Nhập khẩu Việt Nam</t>
  </si>
  <si>
    <t>EIB</t>
  </si>
  <si>
    <t>Eximbank</t>
  </si>
  <si>
    <r>
      <rPr>
        <rFont val="Calibri"/>
        <color rgb="FF1155CC"/>
        <sz val="11.0"/>
        <u/>
      </rPr>
      <t>https://cdn.vietqr.io/img/EIB.png</t>
    </r>
  </si>
  <si>
    <t>EBVIVNVX</t>
  </si>
  <si>
    <t>Ngân hàng Thương mại TNHH MTV Dầu Khí Toàn Cầu</t>
  </si>
  <si>
    <t>GPB</t>
  </si>
  <si>
    <t>GPBank</t>
  </si>
  <si>
    <r>
      <rPr>
        <rFont val="Calibri"/>
        <color rgb="FF1155CC"/>
        <sz val="11.0"/>
        <u/>
      </rPr>
      <t>https://cdn.vietqr.io/img/GPB.png</t>
    </r>
  </si>
  <si>
    <t>GBNKVNVX</t>
  </si>
  <si>
    <t>Ngân hàng TMCP Phát triển Thành phố Hồ Chí Minh</t>
  </si>
  <si>
    <t>HDB</t>
  </si>
  <si>
    <t>HDBank</t>
  </si>
  <si>
    <r>
      <rPr>
        <rFont val="Calibri"/>
        <color rgb="FF1155CC"/>
        <sz val="11.0"/>
        <u/>
      </rPr>
      <t>https://cdn.vietqr.io/img/HDB.png</t>
    </r>
  </si>
  <si>
    <t>HDBCVNVX</t>
  </si>
  <si>
    <t>Ngân hàng TNHH MTV Hong Leong Việt Nam</t>
  </si>
  <si>
    <t>HLBVN</t>
  </si>
  <si>
    <t>HongLeong</t>
  </si>
  <si>
    <r>
      <rPr>
        <rFont val="Calibri"/>
        <color rgb="FF1155CC"/>
        <sz val="11.0"/>
        <u/>
      </rPr>
      <t>https://cdn.vietqr.io/img/HLBVN.png</t>
    </r>
  </si>
  <si>
    <t>HLBBVNVX</t>
  </si>
  <si>
    <t>Ngân hàng TNHH MTV HSBC (Việt Nam)</t>
  </si>
  <si>
    <t>HSBC</t>
  </si>
  <si>
    <r>
      <rPr>
        <rFont val="Calibri"/>
        <color rgb="FF1155CC"/>
        <sz val="11.0"/>
        <u/>
      </rPr>
      <t>https://cdn.vietqr.io/img/HSBC.png</t>
    </r>
  </si>
  <si>
    <t>HSBCVNVX</t>
  </si>
  <si>
    <t>Ngân hàng Công nghiệp Hàn Quốc - Chi nhánh Hà Nội</t>
  </si>
  <si>
    <t>IBK - HN</t>
  </si>
  <si>
    <t>IBKHN</t>
  </si>
  <si>
    <r>
      <rPr>
        <rFont val="Calibri"/>
        <color rgb="FF1155CC"/>
        <sz val="11.0"/>
        <u/>
      </rPr>
      <t>https://cdn.vietqr.io/img/IBK.png</t>
    </r>
  </si>
  <si>
    <t>Ngân hàng Công nghiệp Hàn Quốc - Chi nhánh TP. Hồ Chí Minh</t>
  </si>
  <si>
    <t>IBK - HCM</t>
  </si>
  <si>
    <t>IBKHCM</t>
  </si>
  <si>
    <r>
      <rPr>
        <rFont val="Calibri"/>
        <color rgb="FF1155CC"/>
        <sz val="11.0"/>
        <u/>
      </rPr>
      <t>https://cdn.vietqr.io/img/IBK.png</t>
    </r>
  </si>
  <si>
    <t>Ngân hàng TMCP Công thương Việt Nam</t>
  </si>
  <si>
    <t>ICB</t>
  </si>
  <si>
    <t>VietinBank</t>
  </si>
  <si>
    <r>
      <rPr>
        <rFont val="Calibri"/>
        <color rgb="FF1155CC"/>
        <sz val="11.0"/>
        <u/>
      </rPr>
      <t>https://cdn.vietqr.io/img/ICB.png</t>
    </r>
  </si>
  <si>
    <t>ICBVVNVX</t>
  </si>
  <si>
    <t>Ngân hàng TNHH Indovina</t>
  </si>
  <si>
    <t>IVB</t>
  </si>
  <si>
    <t>IndovinaBank</t>
  </si>
  <si>
    <r>
      <rPr>
        <rFont val="Calibri"/>
        <color rgb="FF1155CC"/>
        <sz val="11.0"/>
        <u/>
      </rPr>
      <t>https://cdn.vietqr.io/img/IVB.png</t>
    </r>
  </si>
  <si>
    <t>Ngân hàng TMCP Kiên Long</t>
  </si>
  <si>
    <t>KLB</t>
  </si>
  <si>
    <t>KienLongBank</t>
  </si>
  <si>
    <r>
      <rPr>
        <rFont val="Calibri"/>
        <color rgb="FF1155CC"/>
        <sz val="11.0"/>
        <u/>
      </rPr>
      <t>https://cdn.vietqr.io/img/KLB.png</t>
    </r>
  </si>
  <si>
    <t>KLBKVNVX</t>
  </si>
  <si>
    <t>Ngân hàng TMCP Lộc Phát Việt Nam</t>
  </si>
  <si>
    <t>LPB</t>
  </si>
  <si>
    <t>LPBank</t>
  </si>
  <si>
    <r>
      <rPr>
        <rFont val="Calibri"/>
        <color rgb="FF1155CC"/>
        <sz val="11.0"/>
        <u/>
      </rPr>
      <t>https://cdn.vietqr.io/img/LPB.png</t>
    </r>
  </si>
  <si>
    <t>LVBKVNVX</t>
  </si>
  <si>
    <t>Ngân hàng TMCP Quân đội</t>
  </si>
  <si>
    <t>MB</t>
  </si>
  <si>
    <t>MBBank</t>
  </si>
  <si>
    <r>
      <rPr>
        <rFont val="Calibri"/>
        <color rgb="FF1155CC"/>
        <sz val="11.0"/>
        <u/>
      </rPr>
      <t>https://cdn.vietqr.io/img/MB.png</t>
    </r>
  </si>
  <si>
    <t>MSCBVNVX</t>
  </si>
  <si>
    <t>Ngân hàng TMCP Hàng Hải Việt Nam</t>
  </si>
  <si>
    <t>MSB</t>
  </si>
  <si>
    <r>
      <rPr>
        <rFont val="Calibri"/>
        <color rgb="FF1155CC"/>
        <sz val="11.0"/>
        <u/>
      </rPr>
      <t>https://cdn.vietqr.io/img/MSB.png</t>
    </r>
  </si>
  <si>
    <t>MCOBVNVX</t>
  </si>
  <si>
    <t>Ngân hàng TMCP Nam Á</t>
  </si>
  <si>
    <t>NAB</t>
  </si>
  <si>
    <t>NamABank</t>
  </si>
  <si>
    <r>
      <rPr>
        <rFont val="Calibri"/>
        <color rgb="FF1155CC"/>
        <sz val="11.0"/>
        <u/>
      </rPr>
      <t>https://cdn.vietqr.io/img/NAB.png</t>
    </r>
  </si>
  <si>
    <t>NAMAVNVX</t>
  </si>
  <si>
    <t>Ngân hàng TMCP Quốc Dân</t>
  </si>
  <si>
    <t>NCB</t>
  </si>
  <si>
    <r>
      <rPr>
        <rFont val="Calibri"/>
        <color rgb="FF1155CC"/>
        <sz val="11.0"/>
        <u/>
      </rPr>
      <t>https://cdn.vietqr.io/img/NCB.png</t>
    </r>
  </si>
  <si>
    <t>NVBAVNVX</t>
  </si>
  <si>
    <t>Ngân hàng Nonghyup - Chi nhánh Hà Nội</t>
  </si>
  <si>
    <t>NHB HN</t>
  </si>
  <si>
    <t>Nonghyup</t>
  </si>
  <si>
    <r>
      <rPr>
        <rFont val="Calibri"/>
        <color rgb="FF1155CC"/>
        <sz val="11.0"/>
        <u/>
      </rPr>
      <t>https://cdn.vietqr.io/img/NHB.png</t>
    </r>
  </si>
  <si>
    <t>Ngân hàng TMCP Phương Đông</t>
  </si>
  <si>
    <r>
      <rPr>
        <rFont val="Calibri"/>
        <color rgb="FF1155CC"/>
        <sz val="11.0"/>
        <u/>
      </rPr>
      <t>https://cdn.vietqr.io/img/OCB.png</t>
    </r>
  </si>
  <si>
    <t>ORCOVNVX</t>
  </si>
  <si>
    <t>Ngân hàng TNHH MTV Việt Nam Hiện Đại</t>
  </si>
  <si>
    <t>MBV</t>
  </si>
  <si>
    <r>
      <rPr>
        <rFont val="Calibri"/>
        <color rgb="FF1155CC"/>
        <sz val="11.0"/>
        <u/>
      </rPr>
      <t>https://cdn.vietqr.io/img/MBV.png</t>
    </r>
  </si>
  <si>
    <t>OCBKUS3M</t>
  </si>
  <si>
    <t>Ngân hàng TNHH MTV Public Việt Nam</t>
  </si>
  <si>
    <t>PBVN</t>
  </si>
  <si>
    <t>PublicBank</t>
  </si>
  <si>
    <r>
      <rPr>
        <rFont val="Calibri"/>
        <color rgb="FF1155CC"/>
        <sz val="11.0"/>
        <u/>
      </rPr>
      <t>https://cdn.vietqr.io/img/PBVN.png</t>
    </r>
  </si>
  <si>
    <t>VIDPVNVX</t>
  </si>
  <si>
    <t>Ngân hàng TMCP Thịnh vượng và Phát triển</t>
  </si>
  <si>
    <t>PGB</t>
  </si>
  <si>
    <t>PGBank</t>
  </si>
  <si>
    <r>
      <rPr>
        <rFont val="Calibri"/>
        <color rgb="FF1155CC"/>
        <sz val="11.0"/>
        <u/>
      </rPr>
      <t>https://cdn.vietqr.io/img/PGB.png</t>
    </r>
  </si>
  <si>
    <t>PGBLVNVX</t>
  </si>
  <si>
    <t>Ngân hàng TMCP Đại Chúng Việt Nam</t>
  </si>
  <si>
    <t>PVCB</t>
  </si>
  <si>
    <t>PVcomBank</t>
  </si>
  <si>
    <r>
      <rPr>
        <rFont val="Calibri"/>
        <color rgb="FF1155CC"/>
        <sz val="11.0"/>
        <u/>
      </rPr>
      <t>https://cdn.vietqr.io/img/PVCB.png</t>
    </r>
  </si>
  <si>
    <t>WBVNVNVX</t>
  </si>
  <si>
    <t>Ngân hàng TMCP Sài Gòn</t>
  </si>
  <si>
    <t>SCB</t>
  </si>
  <si>
    <r>
      <rPr>
        <rFont val="Calibri"/>
        <color rgb="FF1155CC"/>
        <sz val="11.0"/>
        <u/>
      </rPr>
      <t>https://cdn.vietqr.io/img/SCB.png</t>
    </r>
  </si>
  <si>
    <t>SACLVNVX</t>
  </si>
  <si>
    <t>Ngân hàng TNHH MTV Standard Chartered Bank Việt Nam</t>
  </si>
  <si>
    <t>SCVN</t>
  </si>
  <si>
    <t>StandardChartered</t>
  </si>
  <si>
    <r>
      <rPr>
        <rFont val="Calibri"/>
        <color rgb="FF1155CC"/>
        <sz val="11.0"/>
        <u/>
      </rPr>
      <t>https://cdn.vietqr.io/img/SCVN.png</t>
    </r>
  </si>
  <si>
    <t>SCBLVNVX</t>
  </si>
  <si>
    <t>Ngân hàng TMCP Đông Nam Á</t>
  </si>
  <si>
    <t>SEAB</t>
  </si>
  <si>
    <t>SeABank</t>
  </si>
  <si>
    <r>
      <rPr>
        <rFont val="Calibri"/>
        <color rgb="FF1155CC"/>
        <sz val="11.0"/>
        <u/>
      </rPr>
      <t>https://cdn.vietqr.io/img/SEAB.png</t>
    </r>
  </si>
  <si>
    <t>SEAVVNVX</t>
  </si>
  <si>
    <t>Ngân hàng TMCP Sài Gòn Công Thương</t>
  </si>
  <si>
    <t>SGICB</t>
  </si>
  <si>
    <t>SaigonBank</t>
  </si>
  <si>
    <r>
      <rPr>
        <rFont val="Calibri"/>
        <color rgb="FF1155CC"/>
        <sz val="11.0"/>
        <u/>
      </rPr>
      <t>https://cdn.vietqr.io/img/SGICB.png</t>
    </r>
  </si>
  <si>
    <t>SBITVNVX</t>
  </si>
  <si>
    <t>Ngân hàng TMCP Sài Gòn - Hà Nội</t>
  </si>
  <si>
    <t>SHB</t>
  </si>
  <si>
    <r>
      <rPr>
        <rFont val="Calibri"/>
        <color rgb="FF1155CC"/>
        <sz val="11.0"/>
        <u/>
      </rPr>
      <t>https://cdn.vietqr.io/img/SHB.png</t>
    </r>
  </si>
  <si>
    <t>SHBAVNVX</t>
  </si>
  <si>
    <t>Ngân hàng TMCP Sài Gòn Thương Tín</t>
  </si>
  <si>
    <t>STB</t>
  </si>
  <si>
    <t>Sacombank</t>
  </si>
  <si>
    <r>
      <rPr>
        <rFont val="Calibri"/>
        <color rgb="FF1155CC"/>
        <sz val="11.0"/>
        <u/>
      </rPr>
      <t>https://cdn.vietqr.io/img/STB.png</t>
    </r>
  </si>
  <si>
    <t>SGTTVNVX</t>
  </si>
  <si>
    <t>Ngân hàng TNHH MTV Shinhan Việt Nam</t>
  </si>
  <si>
    <t>SHBVN</t>
  </si>
  <si>
    <t>ShinhanBank</t>
  </si>
  <si>
    <r>
      <rPr>
        <rFont val="Calibri"/>
        <color rgb="FF1155CC"/>
        <sz val="11.0"/>
        <u/>
      </rPr>
      <t>https://cdn.vietqr.io/img/SHBVN.png</t>
    </r>
  </si>
  <si>
    <t>SHBKVNVX</t>
  </si>
  <si>
    <t>Ngân hàng TMCP Kỹ thương Việt Nam</t>
  </si>
  <si>
    <t>TCB</t>
  </si>
  <si>
    <r>
      <rPr>
        <rFont val="Calibri"/>
        <color rgb="FF1155CC"/>
        <sz val="11.0"/>
        <u/>
      </rPr>
      <t>https://cdn.vietqr.io/img/TCB.png</t>
    </r>
  </si>
  <si>
    <t>VTCBVNVX</t>
  </si>
  <si>
    <t>Ngân hàng TMCP Tiên Phong</t>
  </si>
  <si>
    <t>TPB</t>
  </si>
  <si>
    <t>TPBank</t>
  </si>
  <si>
    <r>
      <rPr>
        <rFont val="Calibri"/>
        <color rgb="FF1155CC"/>
        <sz val="11.0"/>
        <u/>
      </rPr>
      <t>https://cdn.vietqr.io/img/TPB.png</t>
    </r>
  </si>
  <si>
    <t>TPBVVNVX</t>
  </si>
  <si>
    <t>Ngân hàng United Overseas - Chi nhánh TP. Hồ Chí Minh</t>
  </si>
  <si>
    <t>UOB</t>
  </si>
  <si>
    <t>UnitedOverseas</t>
  </si>
  <si>
    <r>
      <rPr>
        <rFont val="Calibri"/>
        <color rgb="FF1155CC"/>
        <sz val="11.0"/>
        <u/>
      </rPr>
      <t>https://cdn.vietqr.io/img/UOB.png</t>
    </r>
  </si>
  <si>
    <t>Ngân hàng TMCP Việt Á</t>
  </si>
  <si>
    <t>VAB</t>
  </si>
  <si>
    <t>VietABank</t>
  </si>
  <si>
    <r>
      <rPr>
        <rFont val="Calibri"/>
        <color rgb="FF1155CC"/>
        <sz val="11.0"/>
        <u/>
      </rPr>
      <t>https://cdn.vietqr.io/img/VAB.png</t>
    </r>
  </si>
  <si>
    <t>VNACVNVX</t>
  </si>
  <si>
    <t>Ngân hàng Nông nghiệp và Phát triển Nông thôn Việt Nam</t>
  </si>
  <si>
    <t>VBA</t>
  </si>
  <si>
    <t>Agribank</t>
  </si>
  <si>
    <r>
      <rPr>
        <rFont val="Calibri"/>
        <color rgb="FF1155CC"/>
        <sz val="11.0"/>
        <u/>
      </rPr>
      <t>https://cdn.vietqr.io/img/VBA.png</t>
    </r>
  </si>
  <si>
    <t>VBAAVNVX</t>
  </si>
  <si>
    <t>Ngân hàng TMCP Ngoại Thương Việt Nam</t>
  </si>
  <si>
    <t>VCB</t>
  </si>
  <si>
    <r>
      <rPr>
        <rFont val="Calibri"/>
        <color rgb="FF1155CC"/>
        <sz val="11.0"/>
        <u/>
      </rPr>
      <t>https://cdn.vietqr.io/img/VCB.png</t>
    </r>
  </si>
  <si>
    <t>BFTVVNVX</t>
  </si>
  <si>
    <t>Ngân hàng TMCP Bản Việt</t>
  </si>
  <si>
    <t>VCCB</t>
  </si>
  <si>
    <t>VietCapitalBank</t>
  </si>
  <si>
    <r>
      <rPr>
        <rFont val="Calibri"/>
        <color rgb="FF1155CC"/>
        <sz val="11.0"/>
        <u/>
      </rPr>
      <t>https://cdn.vietqr.io/img/VCCB.png</t>
    </r>
  </si>
  <si>
    <t>VCBCVNVX</t>
  </si>
  <si>
    <t>Ngân hàng TMCP Quốc tế Việt Nam</t>
  </si>
  <si>
    <t>VIB</t>
  </si>
  <si>
    <r>
      <rPr>
        <rFont val="Calibri"/>
        <color rgb="FF1155CC"/>
        <sz val="11.0"/>
        <u/>
      </rPr>
      <t>https://cdn.vietqr.io/img/VIB.png</t>
    </r>
  </si>
  <si>
    <t>VNIBVNVX</t>
  </si>
  <si>
    <t>Ngân hàng TMCP Việt Nam Thương Tín</t>
  </si>
  <si>
    <t>VIETBANK</t>
  </si>
  <si>
    <t>VietBank</t>
  </si>
  <si>
    <r>
      <rPr>
        <rFont val="Calibri"/>
        <color rgb="FF1155CC"/>
        <sz val="11.0"/>
        <u/>
      </rPr>
      <t>https://cdn.vietqr.io/img/VIETBANK.png</t>
    </r>
  </si>
  <si>
    <t>VNTTVNVX</t>
  </si>
  <si>
    <t>Ngân hàng TMCP Việt Nam Thịnh Vượng</t>
  </si>
  <si>
    <t>VPB</t>
  </si>
  <si>
    <t>VPBank</t>
  </si>
  <si>
    <r>
      <rPr>
        <rFont val="Calibri"/>
        <color rgb="FF1155CC"/>
        <sz val="11.0"/>
        <u/>
      </rPr>
      <t>https://cdn.vietqr.io/img/VPB.png</t>
    </r>
  </si>
  <si>
    <t>VPBKVNVX</t>
  </si>
  <si>
    <t>Ngân hàng Liên doanh Việt - Nga</t>
  </si>
  <si>
    <t>VRB</t>
  </si>
  <si>
    <r>
      <rPr>
        <rFont val="Calibri"/>
        <color rgb="FF1155CC"/>
        <sz val="11.0"/>
        <u/>
      </rPr>
      <t>https://cdn.vietqr.io/img/VRB.png</t>
    </r>
  </si>
  <si>
    <t>Ngân hàng TNHH MTV Woori Việt Nam</t>
  </si>
  <si>
    <t>WVN</t>
  </si>
  <si>
    <t>Woori</t>
  </si>
  <si>
    <r>
      <rPr>
        <rFont val="Calibri"/>
        <color rgb="FF1155CC"/>
        <sz val="11.0"/>
        <u/>
      </rPr>
      <t>https://cdn.vietqr.io/img/WVN.png</t>
    </r>
  </si>
  <si>
    <t>Ngân hàng Kookmin - Chi nhánh Hà Nội</t>
  </si>
  <si>
    <t>KBHN</t>
  </si>
  <si>
    <t>KookminHN</t>
  </si>
  <si>
    <r>
      <rPr>
        <rFont val="Calibri"/>
        <color rgb="FF1155CC"/>
        <sz val="11.0"/>
        <u/>
      </rPr>
      <t>https://cdn.vietqr.io/img/KBHN.png</t>
    </r>
  </si>
  <si>
    <t>Ngân hàng Kookmin - Chi nhánh Thành phố Hồ Chí Minh</t>
  </si>
  <si>
    <t>KBHCM</t>
  </si>
  <si>
    <t>KookminHCM</t>
  </si>
  <si>
    <r>
      <rPr>
        <rFont val="Calibri"/>
        <color rgb="FF1155CC"/>
        <sz val="11.0"/>
        <u/>
      </rPr>
      <t>https://cdn.vietqr.io/img/KBHCM.png</t>
    </r>
  </si>
  <si>
    <t>Ngân hàng Hợp tác xã Việt Nam</t>
  </si>
  <si>
    <t>COOPBANK</t>
  </si>
  <si>
    <r>
      <rPr>
        <rFont val="Calibri"/>
        <color rgb="FF1155CC"/>
        <sz val="11.0"/>
        <u/>
      </rPr>
      <t>https://cdn.vietqr.io/img/COOPBANK.png</t>
    </r>
  </si>
  <si>
    <t>TMCP Việt Nam Thịnh Vượng - Ngân hàng số CAKE by VPBank</t>
  </si>
  <si>
    <t>CAKE</t>
  </si>
  <si>
    <r>
      <rPr>
        <rFont val="Calibri"/>
        <color rgb="FF1155CC"/>
        <sz val="11.0"/>
        <u/>
      </rPr>
      <t>https://cdn.vietqr.io/img/CAKE.png</t>
    </r>
  </si>
  <si>
    <t>TMCP Việt Nam Thịnh Vượng - Ngân hàng số Ubank by VPBank</t>
  </si>
  <si>
    <t>Ubank</t>
  </si>
  <si>
    <r>
      <rPr>
        <rFont val="Calibri"/>
        <color rgb="FF1155CC"/>
        <sz val="11.0"/>
        <u/>
      </rPr>
      <t>https://cdn.vietqr.io/img/UBANK.png</t>
    </r>
  </si>
  <si>
    <t>Ngân hàng Đại chúng TNHH Kasikornbank</t>
  </si>
  <si>
    <t>KBank</t>
  </si>
  <si>
    <r>
      <rPr>
        <rFont val="Calibri"/>
        <color rgb="FF1155CC"/>
        <sz val="11.0"/>
        <u/>
      </rPr>
      <t>https://cdn.vietqr.io/img/KBANK.png</t>
    </r>
  </si>
  <si>
    <t>KASIVNVX</t>
  </si>
  <si>
    <t>VNPT Money</t>
  </si>
  <si>
    <t>VNPTMONEY</t>
  </si>
  <si>
    <t>VNPTMoney</t>
  </si>
  <si>
    <r>
      <rPr>
        <rFont val="Calibri"/>
        <color rgb="FF1155CC"/>
        <sz val="11.0"/>
        <u/>
      </rPr>
      <t>https://cdn.vietqr.io/img/VNPTMONEY.png</t>
    </r>
  </si>
  <si>
    <t>Tổng Công ty Dịch vụ số Viettel - Chi nhánh tập đoàn công nghiệp viễn thông Quân Đội</t>
  </si>
  <si>
    <t>VTLMONEY</t>
  </si>
  <si>
    <t>ViettelMoney</t>
  </si>
  <si>
    <r>
      <rPr>
        <rFont val="Calibri"/>
        <color rgb="FF1155CC"/>
        <sz val="11.0"/>
        <u/>
      </rPr>
      <t>https://cdn.vietqr.io/img/VIETTELMONEY.png</t>
    </r>
  </si>
  <si>
    <t>Ngân hàng số Timo by Ban Viet Bank</t>
  </si>
  <si>
    <t>TIMO</t>
  </si>
  <si>
    <t>Timo</t>
  </si>
  <si>
    <r>
      <rPr>
        <rFont val="Calibri"/>
        <color rgb="FF1155CC"/>
        <sz val="11.0"/>
        <u/>
      </rPr>
      <t>https://vietqr.net/portal-service/resources/icons/TIMO.png</t>
    </r>
  </si>
  <si>
    <t>Ngân hàng Citibank, N.A. - Chi nhánh Hà Nội</t>
  </si>
  <si>
    <t>CITIBANK</t>
  </si>
  <si>
    <t>Citibank</t>
  </si>
  <si>
    <r>
      <rPr>
        <rFont val="Calibri"/>
        <color rgb="FF1155CC"/>
        <sz val="11.0"/>
        <u/>
      </rPr>
      <t>https://cdn.vietqr.io/img/CITIBANK.png</t>
    </r>
  </si>
  <si>
    <t>Ngân hàng KEB Hana – Chi nhánh Thành phố Hồ Chí Minh</t>
  </si>
  <si>
    <t>KEBHANAHCM</t>
  </si>
  <si>
    <t>KEBHanaHCM</t>
  </si>
  <si>
    <r>
      <rPr>
        <rFont val="Calibri"/>
        <color rgb="FF1155CC"/>
        <sz val="11.0"/>
        <u/>
      </rPr>
      <t>https://cdn.vietqr.io/img/KEBHANAHCM.png</t>
    </r>
  </si>
  <si>
    <t>Ngân hàng KEB Hana – Chi nhánh Hà Nội</t>
  </si>
  <si>
    <t>KEBHANAHN</t>
  </si>
  <si>
    <r>
      <rPr>
        <rFont val="Calibri"/>
        <color rgb="FF1155CC"/>
        <sz val="11.0"/>
        <u/>
      </rPr>
      <t>https://cdn.vietqr.io/img/KEBHANAHN.png</t>
    </r>
  </si>
  <si>
    <t>Công ty Tài chính TNHH MTV Mirae Asset (Việt Nam)</t>
  </si>
  <si>
    <t>MAFC</t>
  </si>
  <si>
    <r>
      <rPr>
        <rFont val="Calibri"/>
        <color rgb="FF1155CC"/>
        <sz val="11.0"/>
        <u/>
      </rPr>
      <t>https://cdn.vietqr.io/img/MAFC.png</t>
    </r>
  </si>
  <si>
    <t>Ngân hàng Chính sách Xã hội</t>
  </si>
  <si>
    <t>VBSP</t>
  </si>
  <si>
    <r>
      <rPr>
        <rFont val="Calibri"/>
        <color rgb="FF1155CC"/>
        <sz val="11.0"/>
        <u/>
      </rPr>
      <t>https://cdn.vietqr.io/img/VBSP.png</t>
    </r>
  </si>
  <si>
    <t>Ngân hàng TMCP Đại Chúng Việt Nam Ngân hàng số</t>
  </si>
  <si>
    <t>PVDB</t>
  </si>
  <si>
    <t>PVcomBank Pay</t>
  </si>
  <si>
    <r>
      <rPr>
        <rFont val="Calibri"/>
        <color rgb="FF1155CC"/>
        <sz val="11.0"/>
        <u/>
      </rPr>
      <t>https://cdn.vietqr.io/img/PVCB.png</t>
    </r>
  </si>
  <si>
    <t>CTCP Dịch Vụ Di Động Trực Tuyến</t>
  </si>
  <si>
    <t>momo</t>
  </si>
  <si>
    <t>MoMo</t>
  </si>
  <si>
    <r>
      <rPr>
        <rFont val="Calibri"/>
        <color rgb="FF1155CC"/>
        <sz val="11.0"/>
        <u/>
      </rPr>
      <t>https://cdn.vietqr.io/img/momo.png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</si>
</sst>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[$ ₫]"/>
    <numFmt numFmtId="165" formatCode="#,##0\ [$đ-42A]"/>
  </numFmts>
  <fonts count="22">
    <font>
      <sz val="11.0"/>
      <color theme="1"/>
      <name val="Calibri"/>
      <scheme val="minor"/>
    </font>
    <font>
      <b/>
      <sz val="11.0"/>
      <color theme="1"/>
      <name val="Arial"/>
    </font>
    <font>
      <sz val="26.0"/>
      <color theme="1"/>
      <name val="Calibri"/>
      <scheme val="minor"/>
    </font>
    <font>
      <sz val="20.0"/>
      <color theme="1"/>
      <name val="Calibri"/>
      <scheme val="minor"/>
    </font>
    <font>
      <sz val="11.0"/>
      <color theme="1"/>
      <name val="Arial"/>
    </font>
    <font>
      <u/>
      <sz val="26.0"/>
      <color rgb="FF0000FF"/>
    </font>
    <font>
      <u/>
      <sz val="11.0"/>
      <color rgb="FF0000FF"/>
      <name val="Arial"/>
    </font>
    <font>
      <u/>
      <sz val="11.0"/>
      <color rgb="FF0000FF"/>
    </font>
    <font>
      <u/>
      <sz val="26.0"/>
      <color rgb="FF0000FF"/>
    </font>
    <font>
      <color theme="1"/>
      <name val="Calibri"/>
      <scheme val="minor"/>
    </font>
    <font>
      <sz val="22.0"/>
      <color theme="1"/>
      <name val="Calibri"/>
      <scheme val="minor"/>
    </font>
    <font/>
    <font>
      <b/>
      <sz val="26.0"/>
      <color theme="1"/>
      <name val="Calibri"/>
      <scheme val="minor"/>
    </font>
    <font>
      <b/>
      <u/>
      <sz val="26.0"/>
      <color theme="1"/>
      <name val="Calibri"/>
      <scheme val="minor"/>
    </font>
    <font>
      <b/>
      <u/>
      <sz val="26.0"/>
      <color theme="1"/>
      <name val="Calibri"/>
      <scheme val="minor"/>
    </font>
    <font>
      <u/>
      <sz val="11.0"/>
      <color rgb="FF0000FF"/>
      <name val="Arial"/>
    </font>
    <font>
      <u/>
      <sz val="11.0"/>
      <color rgb="FF0000FF"/>
      <name val="Calibri"/>
      <scheme val="minor"/>
    </font>
    <font>
      <b/>
      <u/>
      <sz val="26.0"/>
      <color theme="1"/>
      <name val="Calibri"/>
      <scheme val="minor"/>
    </font>
    <font>
      <sz val="20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0" numFmtId="49" xfId="0" applyFont="1" applyNumberFormat="1"/>
    <xf borderId="1" fillId="0" fontId="0" numFmtId="0" xfId="0" applyAlignment="1" applyBorder="1" applyFont="1">
      <alignment horizontal="center" readingOrder="0"/>
    </xf>
    <xf borderId="0" fillId="0" fontId="0" numFmtId="49" xfId="0" applyAlignment="1" applyFont="1" applyNumberFormat="1">
      <alignment readingOrder="0"/>
    </xf>
    <xf borderId="2" fillId="0" fontId="2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center"/>
    </xf>
    <xf borderId="0" fillId="0" fontId="3" numFmtId="0" xfId="0" applyFont="1"/>
    <xf borderId="1" fillId="0" fontId="4" numFmtId="49" xfId="0" applyAlignment="1" applyBorder="1" applyFont="1" applyNumberFormat="1">
      <alignment vertical="center"/>
    </xf>
    <xf borderId="1" fillId="0" fontId="4" numFmtId="0" xfId="0" applyAlignment="1" applyBorder="1" applyFont="1">
      <alignment readingOrder="0" vertical="center"/>
    </xf>
    <xf borderId="1" fillId="0" fontId="0" numFmtId="0" xfId="0" applyAlignment="1" applyBorder="1" applyFont="1">
      <alignment readingOrder="0"/>
    </xf>
    <xf borderId="1" fillId="0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vertical="center"/>
    </xf>
    <xf borderId="3" fillId="0" fontId="5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center" vertical="center"/>
    </xf>
    <xf borderId="0" fillId="0" fontId="0" numFmtId="0" xfId="0" applyFon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5" fillId="0" fontId="2" numFmtId="165" xfId="0" applyAlignment="1" applyBorder="1" applyFont="1" applyNumberFormat="1">
      <alignment horizontal="center" readingOrder="0" vertical="center"/>
    </xf>
    <xf borderId="6" fillId="0" fontId="11" numFmtId="0" xfId="0" applyBorder="1" applyFont="1"/>
    <xf borderId="7" fillId="0" fontId="11" numFmtId="0" xfId="0" applyBorder="1" applyFont="1"/>
    <xf borderId="8" fillId="0" fontId="12" numFmtId="0" xfId="0" applyAlignment="1" applyBorder="1" applyFont="1">
      <alignment horizontal="center" vertical="center"/>
    </xf>
    <xf borderId="3" fillId="0" fontId="11" numFmtId="0" xfId="0" applyBorder="1" applyFont="1"/>
    <xf borderId="2" fillId="0" fontId="13" numFmtId="0" xfId="0" applyAlignment="1" applyBorder="1" applyFont="1">
      <alignment horizontal="center" readingOrder="0" shrinkToFit="0" vertical="center" wrapText="1"/>
    </xf>
    <xf borderId="1" fillId="0" fontId="0" numFmtId="164" xfId="0" applyBorder="1" applyFont="1" applyNumberFormat="1"/>
    <xf borderId="1" fillId="0" fontId="0" numFmtId="0" xfId="0" applyBorder="1" applyFont="1"/>
    <xf borderId="9" fillId="0" fontId="2" numFmtId="49" xfId="0" applyAlignment="1" applyBorder="1" applyFont="1" applyNumberFormat="1">
      <alignment horizontal="center" readingOrder="0" vertical="center"/>
    </xf>
    <xf borderId="10" fillId="0" fontId="11" numFmtId="0" xfId="0" applyBorder="1" applyFont="1"/>
    <xf borderId="11" fillId="0" fontId="11" numFmtId="0" xfId="0" applyBorder="1" applyFont="1"/>
    <xf borderId="12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13" fillId="0" fontId="2" numFmtId="0" xfId="0" applyAlignment="1" applyBorder="1" applyFont="1">
      <alignment horizontal="center" vertical="center"/>
    </xf>
    <xf borderId="13" fillId="0" fontId="2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readingOrder="0"/>
    </xf>
    <xf borderId="5" fillId="0" fontId="17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5" fillId="0" fontId="11" numFmtId="0" xfId="0" applyBorder="1" applyFont="1"/>
    <xf borderId="1" fillId="0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readingOrder="0"/>
    </xf>
    <xf quotePrefix="1" borderId="1" fillId="0" fontId="4" numFmtId="0" xfId="0" applyAlignment="1" applyBorder="1" applyFont="1">
      <alignment readingOrder="0"/>
    </xf>
    <xf borderId="0" fillId="0" fontId="18" numFmtId="0" xfId="0" applyFont="1"/>
    <xf borderId="1" fillId="0" fontId="3" numFmtId="0" xfId="0" applyBorder="1" applyFont="1"/>
    <xf borderId="1" fillId="0" fontId="18" numFmtId="0" xfId="0" applyAlignment="1" applyBorder="1" applyFont="1">
      <alignment vertical="center"/>
    </xf>
    <xf borderId="1" fillId="0" fontId="18" numFmtId="49" xfId="0" applyAlignment="1" applyBorder="1" applyFont="1" applyNumberFormat="1">
      <alignment vertical="center"/>
    </xf>
    <xf borderId="1" fillId="0" fontId="18" numFmtId="0" xfId="0" applyAlignment="1" applyBorder="1" applyFont="1">
      <alignment readingOrder="0" vertical="center"/>
    </xf>
    <xf borderId="0" fillId="0" fontId="3" numFmtId="49" xfId="0" applyAlignment="1" applyFont="1" applyNumberFormat="1">
      <alignment readingOrder="0"/>
    </xf>
    <xf borderId="1" fillId="0" fontId="19" numFmtId="0" xfId="0" applyAlignment="1" applyBorder="1" applyFont="1">
      <alignment horizontal="center" readingOrder="0" shrinkToFit="0" vertical="top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vietqr.io/img/TCB.png" TargetMode="External"/><Relationship Id="rId2" Type="http://schemas.openxmlformats.org/officeDocument/2006/relationships/hyperlink" Target="https://cdn.vietqr.io/img/MB.png" TargetMode="External"/><Relationship Id="rId3" Type="http://schemas.openxmlformats.org/officeDocument/2006/relationships/hyperlink" Target="https://cdn.vietqr.io/img/ICB.png" TargetMode="External"/><Relationship Id="rId4" Type="http://schemas.openxmlformats.org/officeDocument/2006/relationships/hyperlink" Target="https://cdn.vietqr.io/img/VCB.png" TargetMode="External"/><Relationship Id="rId11" Type="http://schemas.openxmlformats.org/officeDocument/2006/relationships/hyperlink" Target="https://cdn.vietqr.io/img/VPB.png" TargetMode="External"/><Relationship Id="rId10" Type="http://schemas.openxmlformats.org/officeDocument/2006/relationships/hyperlink" Target="https://cdn.vietqr.io/img/VPB.p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cdn.vietqr.io/img/momo.png" TargetMode="External"/><Relationship Id="rId5" Type="http://schemas.openxmlformats.org/officeDocument/2006/relationships/hyperlink" Target="https://cdn.vietqr.io/img/momo.png" TargetMode="External"/><Relationship Id="rId6" Type="http://schemas.openxmlformats.org/officeDocument/2006/relationships/hyperlink" Target="https://cdn.vietqr.io/img/ICB.png" TargetMode="External"/><Relationship Id="rId7" Type="http://schemas.openxmlformats.org/officeDocument/2006/relationships/hyperlink" Target="https://cdn.vietqr.io/img/VPB.png" TargetMode="External"/><Relationship Id="rId8" Type="http://schemas.openxmlformats.org/officeDocument/2006/relationships/hyperlink" Target="https://cdn.vietqr.io/img/VIB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vietqr.io/img/UOB.png" TargetMode="External"/><Relationship Id="rId42" Type="http://schemas.openxmlformats.org/officeDocument/2006/relationships/hyperlink" Target="https://cdn.vietqr.io/img/VBA.png" TargetMode="External"/><Relationship Id="rId41" Type="http://schemas.openxmlformats.org/officeDocument/2006/relationships/hyperlink" Target="https://cdn.vietqr.io/img/VAB.png" TargetMode="External"/><Relationship Id="rId44" Type="http://schemas.openxmlformats.org/officeDocument/2006/relationships/hyperlink" Target="https://cdn.vietqr.io/img/VCCB.png" TargetMode="External"/><Relationship Id="rId43" Type="http://schemas.openxmlformats.org/officeDocument/2006/relationships/hyperlink" Target="https://cdn.vietqr.io/img/VCB.png" TargetMode="External"/><Relationship Id="rId46" Type="http://schemas.openxmlformats.org/officeDocument/2006/relationships/hyperlink" Target="https://cdn.vietqr.io/img/VIETBANK.png" TargetMode="External"/><Relationship Id="rId45" Type="http://schemas.openxmlformats.org/officeDocument/2006/relationships/hyperlink" Target="https://cdn.vietqr.io/img/VIB.png" TargetMode="External"/><Relationship Id="rId1" Type="http://schemas.openxmlformats.org/officeDocument/2006/relationships/hyperlink" Target="https://cdn.vietqr.io/img/ABB.png" TargetMode="External"/><Relationship Id="rId2" Type="http://schemas.openxmlformats.org/officeDocument/2006/relationships/hyperlink" Target="https://cdn.vietqr.io/img/ACB.png" TargetMode="External"/><Relationship Id="rId3" Type="http://schemas.openxmlformats.org/officeDocument/2006/relationships/hyperlink" Target="https://cdn.vietqr.io/img/BAB.png" TargetMode="External"/><Relationship Id="rId4" Type="http://schemas.openxmlformats.org/officeDocument/2006/relationships/hyperlink" Target="https://cdn.vietqr.io/img/BIDV.png" TargetMode="External"/><Relationship Id="rId9" Type="http://schemas.openxmlformats.org/officeDocument/2006/relationships/hyperlink" Target="https://cdn.vietqr.io/img/Vikki.png" TargetMode="External"/><Relationship Id="rId48" Type="http://schemas.openxmlformats.org/officeDocument/2006/relationships/hyperlink" Target="https://cdn.vietqr.io/img/VRB.png" TargetMode="External"/><Relationship Id="rId47" Type="http://schemas.openxmlformats.org/officeDocument/2006/relationships/hyperlink" Target="https://cdn.vietqr.io/img/VPB.png" TargetMode="External"/><Relationship Id="rId49" Type="http://schemas.openxmlformats.org/officeDocument/2006/relationships/hyperlink" Target="https://cdn.vietqr.io/img/WVN.png" TargetMode="External"/><Relationship Id="rId5" Type="http://schemas.openxmlformats.org/officeDocument/2006/relationships/hyperlink" Target="https://cdn.vietqr.io/img/BVB.png" TargetMode="External"/><Relationship Id="rId6" Type="http://schemas.openxmlformats.org/officeDocument/2006/relationships/hyperlink" Target="https://cdn.vietqr.io/img/CBB.png" TargetMode="External"/><Relationship Id="rId7" Type="http://schemas.openxmlformats.org/officeDocument/2006/relationships/hyperlink" Target="https://cdn.vietqr.io/img/CIMB.png" TargetMode="External"/><Relationship Id="rId8" Type="http://schemas.openxmlformats.org/officeDocument/2006/relationships/hyperlink" Target="https://cdn.vietqr.io/img/DBS.png" TargetMode="External"/><Relationship Id="rId31" Type="http://schemas.openxmlformats.org/officeDocument/2006/relationships/hyperlink" Target="https://cdn.vietqr.io/img/SCB.png" TargetMode="External"/><Relationship Id="rId30" Type="http://schemas.openxmlformats.org/officeDocument/2006/relationships/hyperlink" Target="https://cdn.vietqr.io/img/PVCB.png" TargetMode="External"/><Relationship Id="rId33" Type="http://schemas.openxmlformats.org/officeDocument/2006/relationships/hyperlink" Target="https://cdn.vietqr.io/img/SEAB.png" TargetMode="External"/><Relationship Id="rId32" Type="http://schemas.openxmlformats.org/officeDocument/2006/relationships/hyperlink" Target="https://cdn.vietqr.io/img/SCVN.png" TargetMode="External"/><Relationship Id="rId35" Type="http://schemas.openxmlformats.org/officeDocument/2006/relationships/hyperlink" Target="https://cdn.vietqr.io/img/SHB.png" TargetMode="External"/><Relationship Id="rId34" Type="http://schemas.openxmlformats.org/officeDocument/2006/relationships/hyperlink" Target="https://cdn.vietqr.io/img/SGICB.png" TargetMode="External"/><Relationship Id="rId37" Type="http://schemas.openxmlformats.org/officeDocument/2006/relationships/hyperlink" Target="https://cdn.vietqr.io/img/SHBVN.png" TargetMode="External"/><Relationship Id="rId36" Type="http://schemas.openxmlformats.org/officeDocument/2006/relationships/hyperlink" Target="https://cdn.vietqr.io/img/STB.png" TargetMode="External"/><Relationship Id="rId39" Type="http://schemas.openxmlformats.org/officeDocument/2006/relationships/hyperlink" Target="https://cdn.vietqr.io/img/TPB.png" TargetMode="External"/><Relationship Id="rId38" Type="http://schemas.openxmlformats.org/officeDocument/2006/relationships/hyperlink" Target="https://cdn.vietqr.io/img/TCB.png" TargetMode="External"/><Relationship Id="rId62" Type="http://schemas.openxmlformats.org/officeDocument/2006/relationships/hyperlink" Target="https://cdn.vietqr.io/img/MAFC.png" TargetMode="External"/><Relationship Id="rId61" Type="http://schemas.openxmlformats.org/officeDocument/2006/relationships/hyperlink" Target="https://cdn.vietqr.io/img/KEBHANAHN.png" TargetMode="External"/><Relationship Id="rId20" Type="http://schemas.openxmlformats.org/officeDocument/2006/relationships/hyperlink" Target="https://cdn.vietqr.io/img/LPB.png" TargetMode="External"/><Relationship Id="rId64" Type="http://schemas.openxmlformats.org/officeDocument/2006/relationships/hyperlink" Target="https://cdn.vietqr.io/img/PVCB.png" TargetMode="External"/><Relationship Id="rId63" Type="http://schemas.openxmlformats.org/officeDocument/2006/relationships/hyperlink" Target="https://cdn.vietqr.io/img/VBSP.png" TargetMode="External"/><Relationship Id="rId22" Type="http://schemas.openxmlformats.org/officeDocument/2006/relationships/hyperlink" Target="https://cdn.vietqr.io/img/MSB.png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s://cdn.vietqr.io/img/MB.png" TargetMode="External"/><Relationship Id="rId65" Type="http://schemas.openxmlformats.org/officeDocument/2006/relationships/hyperlink" Target="https://cdn.vietqr.io/img/momo.png" TargetMode="External"/><Relationship Id="rId24" Type="http://schemas.openxmlformats.org/officeDocument/2006/relationships/hyperlink" Target="https://cdn.vietqr.io/img/NCB.png" TargetMode="External"/><Relationship Id="rId23" Type="http://schemas.openxmlformats.org/officeDocument/2006/relationships/hyperlink" Target="https://cdn.vietqr.io/img/NAB.png" TargetMode="External"/><Relationship Id="rId60" Type="http://schemas.openxmlformats.org/officeDocument/2006/relationships/hyperlink" Target="https://cdn.vietqr.io/img/KEBHANAHCM.png" TargetMode="External"/><Relationship Id="rId26" Type="http://schemas.openxmlformats.org/officeDocument/2006/relationships/hyperlink" Target="https://cdn.vietqr.io/img/OCB.png" TargetMode="External"/><Relationship Id="rId25" Type="http://schemas.openxmlformats.org/officeDocument/2006/relationships/hyperlink" Target="https://cdn.vietqr.io/img/NHB.png" TargetMode="External"/><Relationship Id="rId28" Type="http://schemas.openxmlformats.org/officeDocument/2006/relationships/hyperlink" Target="https://cdn.vietqr.io/img/PBVN.png" TargetMode="External"/><Relationship Id="rId27" Type="http://schemas.openxmlformats.org/officeDocument/2006/relationships/hyperlink" Target="https://cdn.vietqr.io/img/MBV.png" TargetMode="External"/><Relationship Id="rId29" Type="http://schemas.openxmlformats.org/officeDocument/2006/relationships/hyperlink" Target="https://cdn.vietqr.io/img/PGB.png" TargetMode="External"/><Relationship Id="rId51" Type="http://schemas.openxmlformats.org/officeDocument/2006/relationships/hyperlink" Target="https://cdn.vietqr.io/img/KBHCM.png" TargetMode="External"/><Relationship Id="rId50" Type="http://schemas.openxmlformats.org/officeDocument/2006/relationships/hyperlink" Target="https://cdn.vietqr.io/img/KBHN.png" TargetMode="External"/><Relationship Id="rId53" Type="http://schemas.openxmlformats.org/officeDocument/2006/relationships/hyperlink" Target="https://cdn.vietqr.io/img/CAKE.png" TargetMode="External"/><Relationship Id="rId52" Type="http://schemas.openxmlformats.org/officeDocument/2006/relationships/hyperlink" Target="https://cdn.vietqr.io/img/COOPBANK.png" TargetMode="External"/><Relationship Id="rId11" Type="http://schemas.openxmlformats.org/officeDocument/2006/relationships/hyperlink" Target="https://cdn.vietqr.io/img/GPB.png" TargetMode="External"/><Relationship Id="rId55" Type="http://schemas.openxmlformats.org/officeDocument/2006/relationships/hyperlink" Target="https://cdn.vietqr.io/img/KBANK.png" TargetMode="External"/><Relationship Id="rId10" Type="http://schemas.openxmlformats.org/officeDocument/2006/relationships/hyperlink" Target="https://cdn.vietqr.io/img/EIB.png" TargetMode="External"/><Relationship Id="rId54" Type="http://schemas.openxmlformats.org/officeDocument/2006/relationships/hyperlink" Target="https://cdn.vietqr.io/img/UBANK.png" TargetMode="External"/><Relationship Id="rId13" Type="http://schemas.openxmlformats.org/officeDocument/2006/relationships/hyperlink" Target="https://cdn.vietqr.io/img/HLBVN.png" TargetMode="External"/><Relationship Id="rId57" Type="http://schemas.openxmlformats.org/officeDocument/2006/relationships/hyperlink" Target="https://cdn.vietqr.io/img/VIETTELMONEY.png" TargetMode="External"/><Relationship Id="rId12" Type="http://schemas.openxmlformats.org/officeDocument/2006/relationships/hyperlink" Target="https://cdn.vietqr.io/img/HDB.png" TargetMode="External"/><Relationship Id="rId56" Type="http://schemas.openxmlformats.org/officeDocument/2006/relationships/hyperlink" Target="https://cdn.vietqr.io/img/VNPTMONEY.png" TargetMode="External"/><Relationship Id="rId15" Type="http://schemas.openxmlformats.org/officeDocument/2006/relationships/hyperlink" Target="https://cdn.vietqr.io/img/IBK.png" TargetMode="External"/><Relationship Id="rId59" Type="http://schemas.openxmlformats.org/officeDocument/2006/relationships/hyperlink" Target="https://cdn.vietqr.io/img/CITIBANK.png" TargetMode="External"/><Relationship Id="rId14" Type="http://schemas.openxmlformats.org/officeDocument/2006/relationships/hyperlink" Target="https://cdn.vietqr.io/img/HSBC.png" TargetMode="External"/><Relationship Id="rId58" Type="http://schemas.openxmlformats.org/officeDocument/2006/relationships/hyperlink" Target="https://vietqr.net/portal-service/resources/icons/TIMO.png" TargetMode="External"/><Relationship Id="rId17" Type="http://schemas.openxmlformats.org/officeDocument/2006/relationships/hyperlink" Target="https://cdn.vietqr.io/img/ICB.png" TargetMode="External"/><Relationship Id="rId16" Type="http://schemas.openxmlformats.org/officeDocument/2006/relationships/hyperlink" Target="https://cdn.vietqr.io/img/IBK.png" TargetMode="External"/><Relationship Id="rId19" Type="http://schemas.openxmlformats.org/officeDocument/2006/relationships/hyperlink" Target="https://cdn.vietqr.io/img/KLB.png" TargetMode="External"/><Relationship Id="rId18" Type="http://schemas.openxmlformats.org/officeDocument/2006/relationships/hyperlink" Target="https://cdn.vietqr.io/img/IV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5.14"/>
    <col customWidth="1" min="3" max="3" width="44.71"/>
    <col customWidth="1" min="4" max="4" width="48.86"/>
    <col customWidth="1" min="5" max="5" width="18.57"/>
    <col customWidth="1" min="6" max="6" width="25.14"/>
    <col customWidth="1" min="7" max="7" width="17.57"/>
  </cols>
  <sheetData>
    <row r="1">
      <c r="A1" s="7" t="s">
        <v>12</v>
      </c>
      <c r="B1" s="15" t="str">
        <f>HYPERLINK(VLOOKUP($A$1,TaiKhoan!$C:$J,8,0)&amp;$A$2, "vietqr_link")</f>
        <v>vietqr_link</v>
      </c>
      <c r="C1" s="16" t="s">
        <v>25</v>
      </c>
      <c r="D1" s="19" t="str">
        <f>HYPERLINK(VLOOKUP(C1,MauChuyenTien!$A:$G,7,0),"vietqr_link")</f>
        <v>vietqr_link</v>
      </c>
      <c r="F1" s="21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1"/>
    </row>
    <row r="2">
      <c r="A2" s="23">
        <v>10000.0</v>
      </c>
      <c r="B2" s="24"/>
      <c r="C2" s="25"/>
      <c r="D2" s="25"/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1"/>
    </row>
    <row r="3">
      <c r="A3" s="26" t="str">
        <f>IMAGE(VLOOKUP($A$1,TaiKhoan!$C:$J,8,0)&amp;$A$2)</f>
        <v/>
      </c>
      <c r="B3" s="27"/>
      <c r="C3" s="28" t="s">
        <v>18</v>
      </c>
      <c r="D3" s="31">
        <f>VLOOKUP($A$1,TaiKhoan!C:H,6,0)</f>
        <v>970407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>
      <c r="A4" s="32"/>
      <c r="B4" s="33"/>
      <c r="C4" s="34" t="s">
        <v>17</v>
      </c>
      <c r="D4" s="36" t="str">
        <f>VLOOKUP($A$1,TaiKhoan!C:H,5,0)</f>
        <v>Techcombank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>
      <c r="A5" s="32"/>
      <c r="B5" s="33"/>
      <c r="C5" s="34" t="s">
        <v>15</v>
      </c>
      <c r="D5" s="37" t="str">
        <f>VLOOKUP($A$1,TaiKhoan!C:H,3,0)</f>
        <v>44699999999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>
      <c r="A6" s="32"/>
      <c r="B6" s="33"/>
      <c r="C6" s="39" t="s">
        <v>14</v>
      </c>
      <c r="D6" s="40" t="str">
        <f>VLOOKUP($A$1,TaiKhoan!C:H,2,0)</f>
        <v>Huynh Tran Tuan Kiet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>
      <c r="A7" s="32"/>
      <c r="B7" s="33"/>
      <c r="C7" s="41"/>
      <c r="D7" s="4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>
      <c r="A8" s="32"/>
      <c r="B8" s="33"/>
      <c r="C8" s="41"/>
      <c r="D8" s="4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32"/>
      <c r="B9" s="33"/>
      <c r="C9" s="41"/>
      <c r="D9" s="4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32"/>
      <c r="B10" s="33"/>
      <c r="C10" s="41"/>
      <c r="D10" s="4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32"/>
      <c r="B11" s="33"/>
      <c r="C11" s="41"/>
      <c r="D11" s="4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32"/>
      <c r="B12" s="33"/>
      <c r="C12" s="41"/>
      <c r="D12" s="4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32"/>
      <c r="B13" s="33"/>
      <c r="C13" s="41"/>
      <c r="D13" s="4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32"/>
      <c r="B14" s="33"/>
      <c r="C14" s="41"/>
      <c r="D14" s="4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32"/>
      <c r="B15" s="33"/>
      <c r="C15" s="41"/>
      <c r="D15" s="4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32"/>
      <c r="B16" s="33"/>
      <c r="C16" s="41"/>
      <c r="D16" s="4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43"/>
      <c r="B17" s="24"/>
      <c r="C17" s="41"/>
      <c r="D17" s="4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</sheetData>
  <mergeCells count="4">
    <mergeCell ref="A3:B17"/>
    <mergeCell ref="B1:B2"/>
    <mergeCell ref="C1:C2"/>
    <mergeCell ref="D1:D2"/>
  </mergeCells>
  <dataValidations>
    <dataValidation type="list" allowBlank="1" showErrorMessage="1" sqref="A1">
      <formula1>TaiKhoan!$C$2:$C$20</formula1>
    </dataValidation>
    <dataValidation type="list" allowBlank="1" showErrorMessage="1" sqref="C1">
      <formula1>MauChuyenTien!$A$2:$A$20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5.43"/>
    <col customWidth="1" min="3" max="3" width="42.0"/>
    <col customWidth="1" min="4" max="4" width="68.86"/>
    <col customWidth="1" min="5" max="5" width="42.71"/>
    <col customWidth="1" min="6" max="6" width="11.71"/>
    <col customWidth="1" min="7" max="7" width="24.57"/>
    <col customWidth="1" min="8" max="8" width="13.86"/>
    <col customWidth="1" min="9" max="9" width="59.14"/>
    <col customWidth="1" min="10" max="10" width="257.86"/>
    <col customWidth="1" min="11" max="12" width="15.86"/>
    <col customWidth="1" min="13" max="27" width="8.71"/>
  </cols>
  <sheetData>
    <row r="1">
      <c r="A1" s="1" t="s">
        <v>2</v>
      </c>
      <c r="B1" s="3" t="s">
        <v>4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3">
        <v>1.0</v>
      </c>
      <c r="B2" s="11">
        <v>43.0</v>
      </c>
      <c r="C2" s="13" t="s">
        <v>27</v>
      </c>
      <c r="D2" s="13" t="s">
        <v>29</v>
      </c>
      <c r="E2" s="10" t="s">
        <v>30</v>
      </c>
      <c r="F2" s="13" t="str">
        <f>IFERROR(VLOOKUP(B2,Banks!$A:$F,3),"")</f>
        <v>VCB</v>
      </c>
      <c r="G2" s="13" t="str">
        <f>IFERROR(VLOOKUP(B2,Banks!$A:$F,5),"")</f>
        <v>Vietcombank</v>
      </c>
      <c r="H2" s="10">
        <f>IFERROR(VLOOKUP(B2,Banks!$A:$F,4),"")</f>
        <v>970436</v>
      </c>
      <c r="I2" s="17" t="str">
        <f>IFERROR(VLOOKUP(B2,Banks!$A:$F,6),"")</f>
        <v>https://cdn.vietqr.io/img/VCB.png</v>
      </c>
      <c r="J2" s="17" t="str">
        <f>IFERROR(__xludf.DUMMYFUNCTION("""https://img.vietqr.io/image/""&amp;F2&amp;""-""&amp;E2&amp;""-""&amp;FILTER(MauHienThi!$A:$A,MauHienThi!$C:$C=TRUE)&amp;"".png?accountName=""&amp;ENCODEURL(D2)&amp;""&amp;amount="""),"https://img.vietqr.io/image/VCB-1031451081-compact2.png?accountName=Huynh%20Tran%20Tuan%20Kiet&amp;amount=")</f>
        <v>https://img.vietqr.io/image/VCB-1031451081-compact2.png?accountName=Huynh%20Tran%20Tuan%20Kiet&amp;amount=</v>
      </c>
      <c r="K2" s="13" t="b">
        <v>0</v>
      </c>
      <c r="L2" s="13" t="b">
        <v>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3">
        <v>2.0</v>
      </c>
      <c r="B3" s="11">
        <v>38.0</v>
      </c>
      <c r="C3" s="13" t="s">
        <v>12</v>
      </c>
      <c r="D3" s="13" t="s">
        <v>29</v>
      </c>
      <c r="E3" s="10" t="s">
        <v>41</v>
      </c>
      <c r="F3" s="13" t="str">
        <f>IFERROR(VLOOKUP(B3,Banks!$A:$F,3),"")</f>
        <v>TCB</v>
      </c>
      <c r="G3" s="13" t="str">
        <f>IFERROR(VLOOKUP(B3,Banks!$A:$F,5),"")</f>
        <v>Techcombank</v>
      </c>
      <c r="H3" s="10">
        <f>IFERROR(VLOOKUP(B3,Banks!$A:$F,4),"")</f>
        <v>970407</v>
      </c>
      <c r="I3" s="35" t="s">
        <v>43</v>
      </c>
      <c r="J3" s="17" t="str">
        <f>IFERROR(__xludf.DUMMYFUNCTION("""https://img.vietqr.io/image/""&amp;F3&amp;""-""&amp;E3&amp;""-""&amp;FILTER(MauHienThi!$A:$A,MauHienThi!$C:$C=TRUE)&amp;"".png?accountName=""&amp;ENCODEURL(D3)&amp;""&amp;amount="""),"https://img.vietqr.io/image/TCB-44699999999-compact2.png?accountName=Huynh%20Tran%20Tuan%20Kiet&amp;amount=")</f>
        <v>https://img.vietqr.io/image/TCB-44699999999-compact2.png?accountName=Huynh%20Tran%20Tuan%20Kiet&amp;amount=</v>
      </c>
      <c r="K3" s="11" t="b">
        <v>0</v>
      </c>
      <c r="L3" s="13" t="b">
        <v>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3">
        <v>3.0</v>
      </c>
      <c r="B4" s="11">
        <v>21.0</v>
      </c>
      <c r="C4" s="13" t="s">
        <v>39</v>
      </c>
      <c r="D4" s="13" t="s">
        <v>29</v>
      </c>
      <c r="E4" s="10" t="s">
        <v>44</v>
      </c>
      <c r="F4" s="13" t="str">
        <f>IFERROR(VLOOKUP(B4,Banks!$A:$F,3),"")</f>
        <v>MB</v>
      </c>
      <c r="G4" s="13" t="str">
        <f>IFERROR(VLOOKUP(B4,Banks!$A:$F,5),"")</f>
        <v>MBBank</v>
      </c>
      <c r="H4" s="10">
        <f>IFERROR(VLOOKUP(B4,Banks!$A:$F,4),"")</f>
        <v>970422</v>
      </c>
      <c r="I4" s="35" t="s">
        <v>45</v>
      </c>
      <c r="J4" s="17" t="str">
        <f>IFERROR(__xludf.DUMMYFUNCTION("""https://img.vietqr.io/image/""&amp;F4&amp;""-""&amp;E4&amp;""-""&amp;FILTER(MauHienThi!$A:$A,MauHienThi!$C:$C=TRUE)&amp;"".png?accountName=""&amp;ENCODEURL(D4)&amp;""&amp;amount="""),"https://img.vietqr.io/image/MB-9704229201938102578-compact2.png?accountName=Huynh%20Tran%20Tuan%20Kiet&amp;amount=")</f>
        <v>https://img.vietqr.io/image/MB-9704229201938102578-compact2.png?accountName=Huynh%20Tran%20Tuan%20Kiet&amp;amount=</v>
      </c>
      <c r="K4" s="13" t="b">
        <v>0</v>
      </c>
      <c r="L4" s="13" t="b">
        <v>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3">
        <v>4.0</v>
      </c>
      <c r="B5" s="11">
        <v>17.0</v>
      </c>
      <c r="C5" s="13" t="s">
        <v>46</v>
      </c>
      <c r="D5" s="13" t="s">
        <v>47</v>
      </c>
      <c r="E5" s="10" t="s">
        <v>48</v>
      </c>
      <c r="F5" s="13" t="str">
        <f>IFERROR(VLOOKUP(B5,Banks!$A:$F,3),"")</f>
        <v>ICB</v>
      </c>
      <c r="G5" s="13" t="str">
        <f>IFERROR(VLOOKUP(B5,Banks!$A:$F,5),"")</f>
        <v>VietinBank</v>
      </c>
      <c r="H5" s="10">
        <f>IFERROR(VLOOKUP(B5,Banks!$A:$F,4),"")</f>
        <v>970415</v>
      </c>
      <c r="I5" s="35" t="s">
        <v>49</v>
      </c>
      <c r="J5" s="17" t="str">
        <f>IFERROR(__xludf.DUMMYFUNCTION("""https://img.vietqr.io/image/""&amp;F5&amp;""-""&amp;E5&amp;""-""&amp;FILTER(MauHienThi!$A:$A,MauHienThi!$C:$C=TRUE)&amp;"".png?accountName=""&amp;ENCODEURL(D5)&amp;""&amp;amount="""),"https://img.vietqr.io/image/ICB-105878043349-compact2.png?accountName=Phan%20Le%20Duy%20Khoi&amp;amount=")</f>
        <v>https://img.vietqr.io/image/ICB-105878043349-compact2.png?accountName=Phan%20Le%20Duy%20Khoi&amp;amount=</v>
      </c>
      <c r="K5" s="13" t="b">
        <v>0</v>
      </c>
      <c r="L5" s="13" t="b">
        <v>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3">
        <v>5.0</v>
      </c>
      <c r="B6" s="11">
        <v>43.0</v>
      </c>
      <c r="C6" s="13" t="s">
        <v>50</v>
      </c>
      <c r="D6" s="13" t="s">
        <v>51</v>
      </c>
      <c r="E6" s="10" t="s">
        <v>52</v>
      </c>
      <c r="F6" s="13" t="str">
        <f>IFERROR(VLOOKUP(B6,Banks!$A:$F,3),"")</f>
        <v>VCB</v>
      </c>
      <c r="G6" s="13" t="str">
        <f>IFERROR(VLOOKUP(B6,Banks!$A:$F,5),"")</f>
        <v>Vietcombank</v>
      </c>
      <c r="H6" s="10">
        <f>IFERROR(VLOOKUP(B6,Banks!$A:$F,4),"")</f>
        <v>970436</v>
      </c>
      <c r="I6" s="35" t="s">
        <v>53</v>
      </c>
      <c r="J6" s="17" t="str">
        <f>IFERROR(__xludf.DUMMYFUNCTION("""https://img.vietqr.io/image/""&amp;F6&amp;""-""&amp;E6&amp;""-""&amp;FILTER(MauHienThi!$A:$A,MauHienThi!$C:$C=TRUE)&amp;"".png?accountName=""&amp;ENCODEURL(D6)&amp;""&amp;amount="""),"https://img.vietqr.io/image/VCB-SPAY126223392538231-compact2.png?accountName=ShopeePay%20%20HUYNH%20TRAN%20TUAN%20KIET&amp;amount=")</f>
        <v>https://img.vietqr.io/image/VCB-SPAY126223392538231-compact2.png?accountName=ShopeePay%20%20HUYNH%20TRAN%20TUAN%20KIET&amp;amount=</v>
      </c>
      <c r="K6" s="13" t="b">
        <v>0</v>
      </c>
      <c r="L6" s="13" t="b">
        <v>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3">
        <v>6.0</v>
      </c>
      <c r="B7" s="11">
        <v>65.0</v>
      </c>
      <c r="C7" s="13" t="s">
        <v>54</v>
      </c>
      <c r="D7" s="13" t="s">
        <v>29</v>
      </c>
      <c r="E7" s="44" t="s">
        <v>55</v>
      </c>
      <c r="F7" s="13" t="str">
        <f>IFERROR(VLOOKUP(B7,Banks!$A:$F,3),"")</f>
        <v>momo</v>
      </c>
      <c r="G7" s="13" t="str">
        <f>IFERROR(VLOOKUP(B7,Banks!$A:$F,5),"")</f>
        <v>MoMo</v>
      </c>
      <c r="H7" s="10">
        <f>IFERROR(VLOOKUP(B7,Banks!$A:$F,4),"")</f>
        <v>971025</v>
      </c>
      <c r="I7" s="35" t="s">
        <v>56</v>
      </c>
      <c r="J7" s="17" t="str">
        <f>IFERROR(__xludf.DUMMYFUNCTION("""https://img.vietqr.io/image/""&amp;F7&amp;""-""&amp;E7&amp;""-""&amp;FILTER(MauHienThi!$A:$A,MauHienThi!$C:$C=TRUE)&amp;"".png?accountName=""&amp;ENCODEURL(D7)&amp;""&amp;amount="""),"https://img.vietqr.io/image/momo-PSP2605516100000204-compact2.png?accountName=Huynh%20Tran%20Tuan%20Kiet&amp;amount=")</f>
        <v>https://img.vietqr.io/image/momo-PSP2605516100000204-compact2.png?accountName=Huynh%20Tran%20Tuan%20Kiet&amp;amount=</v>
      </c>
      <c r="K7" s="13" t="b">
        <v>0</v>
      </c>
      <c r="L7" s="13" t="b">
        <v>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3">
        <v>7.0</v>
      </c>
      <c r="B8" s="11">
        <v>17.0</v>
      </c>
      <c r="C8" s="11" t="s">
        <v>25</v>
      </c>
      <c r="D8" s="13" t="s">
        <v>57</v>
      </c>
      <c r="E8" s="10" t="s">
        <v>58</v>
      </c>
      <c r="F8" s="13" t="str">
        <f>IFERROR(VLOOKUP(B8,Banks!$A:$F,3),"")</f>
        <v>ICB</v>
      </c>
      <c r="G8" s="13" t="str">
        <f>IFERROR(VLOOKUP(B8,Banks!$A:$F,5),"")</f>
        <v>VietinBank</v>
      </c>
      <c r="H8" s="10">
        <f>IFERROR(VLOOKUP(B8,Banks!$A:$F,4),"")</f>
        <v>970415</v>
      </c>
      <c r="I8" s="35" t="s">
        <v>49</v>
      </c>
      <c r="J8" s="17" t="str">
        <f>IFERROR(__xludf.DUMMYFUNCTION("""https://img.vietqr.io/image/""&amp;F8&amp;""-""&amp;E8&amp;""-""&amp;FILTER(MauHienThi!$A:$A,MauHienThi!$C:$C=TRUE)&amp;"".png?accountName=""&amp;ENCODEURL(D8)&amp;""&amp;amount="""),"https://img.vietqr.io/image/ICB-150010000111-compact2.png?accountName=CONG%20TY%20TNHH%20GRAB&amp;amount=")</f>
        <v>https://img.vietqr.io/image/ICB-150010000111-compact2.png?accountName=CONG%20TY%20TNHH%20GRAB&amp;amount=</v>
      </c>
      <c r="K8" s="13" t="b">
        <v>0</v>
      </c>
      <c r="L8" s="13" t="b">
        <v>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3">
        <v>8.0</v>
      </c>
      <c r="B9" s="11">
        <v>47.0</v>
      </c>
      <c r="C9" s="13" t="s">
        <v>59</v>
      </c>
      <c r="D9" s="13" t="s">
        <v>29</v>
      </c>
      <c r="E9" s="10" t="s">
        <v>60</v>
      </c>
      <c r="F9" s="13" t="str">
        <f>IFERROR(VLOOKUP(B9,Banks!$A:$F,3),"")</f>
        <v>VPB</v>
      </c>
      <c r="G9" s="13" t="str">
        <f>IFERROR(VLOOKUP(B9,Banks!$A:$F,5),"")</f>
        <v>VPBank</v>
      </c>
      <c r="H9" s="10">
        <f>IFERROR(VLOOKUP(B9,Banks!$A:$F,4),"")</f>
        <v>970432</v>
      </c>
      <c r="I9" s="35" t="s">
        <v>61</v>
      </c>
      <c r="J9" s="17" t="str">
        <f>IFERROR(__xludf.DUMMYFUNCTION("""https://img.vietqr.io/image/""&amp;F9&amp;""-""&amp;E9&amp;""-""&amp;FILTER(MauHienThi!$A:$A,MauHienThi!$C:$C=TRUE)&amp;"".png?accountName=""&amp;ENCODEURL(D9)&amp;""&amp;amount="""),"https://img.vietqr.io/image/VPB-4681010052004-compact2.png?accountName=Huynh%20Tran%20Tuan%20Kiet&amp;amount=")</f>
        <v>https://img.vietqr.io/image/VPB-4681010052004-compact2.png?accountName=Huynh%20Tran%20Tuan%20Kiet&amp;amount=</v>
      </c>
      <c r="K9" s="13" t="b">
        <v>0</v>
      </c>
      <c r="L9" s="13" t="b">
        <v>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3">
        <v>9.0</v>
      </c>
      <c r="B10" s="11">
        <v>45.0</v>
      </c>
      <c r="C10" s="13" t="s">
        <v>62</v>
      </c>
      <c r="D10" s="13" t="s">
        <v>63</v>
      </c>
      <c r="E10" s="10" t="s">
        <v>64</v>
      </c>
      <c r="F10" s="13" t="str">
        <f>IFERROR(VLOOKUP(B10,Banks!$A:$F,3),"")</f>
        <v>VIB</v>
      </c>
      <c r="G10" s="13" t="str">
        <f>IFERROR(VLOOKUP(B10,Banks!$A:$F,5),"")</f>
        <v>VIB</v>
      </c>
      <c r="H10" s="10">
        <f>IFERROR(VLOOKUP(B10,Banks!$A:$F,4),"")</f>
        <v>970441</v>
      </c>
      <c r="I10" s="35" t="s">
        <v>65</v>
      </c>
      <c r="J10" s="17" t="str">
        <f>IFERROR(__xludf.DUMMYFUNCTION("""https://img.vietqr.io/image/""&amp;F10&amp;""-""&amp;E10&amp;""-""&amp;FILTER(MauHienThi!$A:$A,MauHienThi!$C:$C=TRUE)&amp;"".png?accountName=""&amp;ENCODEURL(D10)&amp;""&amp;amount="""),"https://img.vietqr.io/image/VIB-052004-compact2.png?accountName=HUYNH%20TRAN%20TUAN%20KIET&amp;amount=")</f>
        <v>https://img.vietqr.io/image/VIB-052004-compact2.png?accountName=HUYNH%20TRAN%20TUAN%20KIET&amp;amount=</v>
      </c>
      <c r="K10" s="13" t="b">
        <v>0</v>
      </c>
      <c r="L10" s="13" t="b">
        <v>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3">
        <v>10.0</v>
      </c>
      <c r="B11" s="11">
        <v>65.0</v>
      </c>
      <c r="C11" s="13" t="s">
        <v>66</v>
      </c>
      <c r="D11" s="13" t="s">
        <v>29</v>
      </c>
      <c r="E11" s="10" t="s">
        <v>67</v>
      </c>
      <c r="F11" s="13" t="str">
        <f>IFERROR(VLOOKUP(B11,Banks!$A:$F,3),"")</f>
        <v>momo</v>
      </c>
      <c r="G11" s="13" t="str">
        <f>IFERROR(VLOOKUP(B11,Banks!$A:$F,5),"")</f>
        <v>MoMo</v>
      </c>
      <c r="H11" s="10">
        <f>IFERROR(VLOOKUP(B11,Banks!$A:$F,4),"")</f>
        <v>971025</v>
      </c>
      <c r="I11" s="35" t="s">
        <v>56</v>
      </c>
      <c r="J11" s="17" t="str">
        <f>IFERROR(__xludf.DUMMYFUNCTION("""https://img.vietqr.io/image/""&amp;F11&amp;""-""&amp;E11&amp;""-""&amp;FILTER(MauHienThi!$A:$A,MauHienThi!$C:$C=TRUE)&amp;"".png?accountName=""&amp;ENCODEURL(D11)&amp;""&amp;amount="""),"https://img.vietqr.io/image/momo-PSP2623411000000071-compact2.png?accountName=Huynh%20Tran%20Tuan%20Kiet&amp;amount=")</f>
        <v>https://img.vietqr.io/image/momo-PSP2623411000000071-compact2.png?accountName=Huynh%20Tran%20Tuan%20Kiet&amp;amount=</v>
      </c>
      <c r="K11" s="13" t="b">
        <v>0</v>
      </c>
      <c r="L11" s="13" t="b"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3">
        <v>11.0</v>
      </c>
      <c r="B12" s="11">
        <v>47.0</v>
      </c>
      <c r="C12" s="13" t="s">
        <v>68</v>
      </c>
      <c r="D12" s="13" t="s">
        <v>69</v>
      </c>
      <c r="E12" s="10" t="s">
        <v>70</v>
      </c>
      <c r="F12" s="13" t="str">
        <f>IFERROR(VLOOKUP(B12,Banks!$A:$F,3),"")</f>
        <v>VPB</v>
      </c>
      <c r="G12" s="13" t="str">
        <f>IFERROR(VLOOKUP(B12,Banks!$A:$F,5),"")</f>
        <v>VPBank</v>
      </c>
      <c r="H12" s="10">
        <f>IFERROR(VLOOKUP(B12,Banks!$A:$F,4),"")</f>
        <v>970432</v>
      </c>
      <c r="I12" s="35" t="s">
        <v>61</v>
      </c>
      <c r="J12" s="17" t="str">
        <f>IFERROR(__xludf.DUMMYFUNCTION("""https://img.vietqr.io/image/""&amp;F12&amp;""-""&amp;E12&amp;""-""&amp;FILTER(MauHienThi!$A:$A,MauHienThi!$C:$C=TRUE)&amp;"".png?accountName=""&amp;ENCODEURL(D12)&amp;""&amp;amount="""),"https://img.vietqr.io/image/VPB-01MMTTT0075996061-compact2.png?accountName=MoMo%20-%20TKTH%20Huynh%20Tran%20Tuan%20Kiet&amp;amount=")</f>
        <v>https://img.vietqr.io/image/VPB-01MMTTT0075996061-compact2.png?accountName=MoMo%20-%20TKTH%20Huynh%20Tran%20Tuan%20Kiet&amp;amount=</v>
      </c>
      <c r="K12" s="13" t="b">
        <v>0</v>
      </c>
      <c r="L12" s="13" t="b"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45">
        <v>12.0</v>
      </c>
      <c r="B13" s="45">
        <v>26.0</v>
      </c>
      <c r="C13" s="45" t="s">
        <v>71</v>
      </c>
      <c r="D13" s="13" t="s">
        <v>29</v>
      </c>
      <c r="E13" s="46" t="s">
        <v>72</v>
      </c>
      <c r="F13" s="13" t="str">
        <f>IFERROR(VLOOKUP(B13,Banks!$A:$F,3),"")</f>
        <v>OCB</v>
      </c>
      <c r="G13" s="13" t="str">
        <f>IFERROR(VLOOKUP(B13,Banks!$A:$F,5),"")</f>
        <v>OCB</v>
      </c>
      <c r="H13" s="10">
        <f>IFERROR(VLOOKUP(B13,Banks!$A:$F,4),"")</f>
        <v>970448</v>
      </c>
      <c r="I13" s="35" t="s">
        <v>61</v>
      </c>
      <c r="J13" s="17" t="str">
        <f>IFERROR(__xludf.DUMMYFUNCTION("""https://img.vietqr.io/image/""&amp;F13&amp;""-""&amp;E13&amp;""-""&amp;FILTER(MauHienThi!$A:$A,MauHienThi!$C:$C=TRUE)&amp;"".png?accountName=""&amp;ENCODEURL(D13)&amp;""&amp;amount="""),"https://img.vietqr.io/image/OCB-0582118210-compact2.png?accountName=Huynh%20Tran%20Tuan%20Kiet&amp;amount=")</f>
        <v>https://img.vietqr.io/image/OCB-0582118210-compact2.png?accountName=Huynh%20Tran%20Tuan%20Kiet&amp;amount=</v>
      </c>
      <c r="K13" s="13" t="b">
        <v>0</v>
      </c>
      <c r="L13" s="13" t="b">
        <v>0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>
      <c r="A14" s="48"/>
      <c r="B14" s="48"/>
      <c r="C14" s="48"/>
      <c r="D14" s="48"/>
      <c r="E14" s="48"/>
      <c r="F14" s="49" t="str">
        <f>IFERROR(VLOOKUP(B14,Banks!$A:$F,3),"")</f>
        <v/>
      </c>
      <c r="G14" s="49" t="str">
        <f>IFERROR(VLOOKUP(B14,Banks!$A:$F,5),"")</f>
        <v/>
      </c>
      <c r="H14" s="50" t="str">
        <f>IFERROR(VLOOKUP(B14,Banks!$A:$F,4),"")</f>
        <v/>
      </c>
      <c r="I14" s="51"/>
      <c r="J14" s="49"/>
      <c r="K14" s="49"/>
      <c r="L14" s="4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48"/>
      <c r="B15" s="48"/>
      <c r="C15" s="48"/>
      <c r="D15" s="48"/>
      <c r="E15" s="48"/>
      <c r="F15" s="49" t="str">
        <f>IFERROR(VLOOKUP(B15,Banks!$A:$F,3),"")</f>
        <v/>
      </c>
      <c r="G15" s="49" t="str">
        <f>IFERROR(VLOOKUP(B15,Banks!$A:$F,5),"")</f>
        <v/>
      </c>
      <c r="H15" s="50" t="str">
        <f>IFERROR(VLOOKUP(B15,Banks!$A:$F,4),"")</f>
        <v/>
      </c>
      <c r="I15" s="51"/>
      <c r="J15" s="49"/>
      <c r="K15" s="49"/>
      <c r="L15" s="4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8"/>
      <c r="B16" s="48"/>
      <c r="C16" s="48"/>
      <c r="D16" s="48"/>
      <c r="E16" s="48"/>
      <c r="F16" s="49" t="str">
        <f>IFERROR(VLOOKUP(B16,Banks!$A:$F,3),"")</f>
        <v/>
      </c>
      <c r="G16" s="49" t="str">
        <f>IFERROR(VLOOKUP(B16,Banks!$A:$F,5),"")</f>
        <v/>
      </c>
      <c r="H16" s="50" t="str">
        <f>IFERROR(VLOOKUP(B16,Banks!$A:$F,4),"")</f>
        <v/>
      </c>
      <c r="I16" s="51"/>
      <c r="J16" s="49"/>
      <c r="K16" s="49"/>
      <c r="L16" s="4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8"/>
      <c r="B17" s="48"/>
      <c r="C17" s="48"/>
      <c r="D17" s="48"/>
      <c r="E17" s="48"/>
      <c r="F17" s="49" t="str">
        <f>IFERROR(VLOOKUP(B17,Banks!$A:$F,3),"")</f>
        <v/>
      </c>
      <c r="G17" s="49" t="str">
        <f>IFERROR(VLOOKUP(B17,Banks!$A:$F,5),"")</f>
        <v/>
      </c>
      <c r="H17" s="50" t="str">
        <f>IFERROR(VLOOKUP(B17,Banks!$A:$F,4),"")</f>
        <v/>
      </c>
      <c r="I17" s="51"/>
      <c r="J17" s="49"/>
      <c r="K17" s="49"/>
      <c r="L17" s="4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48"/>
      <c r="B18" s="48"/>
      <c r="C18" s="48"/>
      <c r="D18" s="48"/>
      <c r="E18" s="48"/>
      <c r="F18" s="49" t="str">
        <f>IFERROR(VLOOKUP(B18,Banks!$A:$F,3),"")</f>
        <v/>
      </c>
      <c r="G18" s="49" t="str">
        <f>IFERROR(VLOOKUP(B18,Banks!$A:$F,5),"")</f>
        <v/>
      </c>
      <c r="H18" s="50" t="str">
        <f>IFERROR(VLOOKUP(B18,Banks!$A:$F,4),"")</f>
        <v/>
      </c>
      <c r="I18" s="51"/>
      <c r="J18" s="49"/>
      <c r="K18" s="49"/>
      <c r="L18" s="4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48"/>
      <c r="B19" s="48"/>
      <c r="C19" s="48"/>
      <c r="D19" s="48"/>
      <c r="E19" s="48"/>
      <c r="F19" s="49" t="str">
        <f>IFERROR(VLOOKUP(B19,Banks!$A:$F,3),"")</f>
        <v/>
      </c>
      <c r="G19" s="49" t="str">
        <f>IFERROR(VLOOKUP(B19,Banks!$A:$F,5),"")</f>
        <v/>
      </c>
      <c r="H19" s="50" t="str">
        <f>IFERROR(VLOOKUP(B19,Banks!$A:$F,4),"")</f>
        <v/>
      </c>
      <c r="I19" s="51"/>
      <c r="J19" s="49"/>
      <c r="K19" s="49"/>
      <c r="L19" s="4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48"/>
      <c r="B20" s="48"/>
      <c r="C20" s="48"/>
      <c r="D20" s="48"/>
      <c r="E20" s="48"/>
      <c r="F20" s="49" t="str">
        <f>IFERROR(VLOOKUP(B20,Banks!$A:$F,3),"")</f>
        <v/>
      </c>
      <c r="G20" s="49" t="str">
        <f>IFERROR(VLOOKUP(B20,Banks!$A:$F,5),"")</f>
        <v/>
      </c>
      <c r="H20" s="50" t="str">
        <f>IFERROR(VLOOKUP(B20,Banks!$A:$F,4),"")</f>
        <v/>
      </c>
      <c r="I20" s="51"/>
      <c r="J20" s="49"/>
      <c r="K20" s="49"/>
      <c r="L20" s="4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52" t="str">
        <f>IFERROR(__xludf.DUMMYFUNCTION("FILTER(MauHienThi!$A2:$A1000,MauHienThi!$C2:$C1000=TRUE)"),"compact2")</f>
        <v>compact2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dataValidations>
    <dataValidation type="list" allowBlank="1" showErrorMessage="1" sqref="K2:L20">
      <formula1>"FALSE,TRUE"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</hyperlinks>
  <printOptions/>
  <pageMargins bottom="1.0" footer="0.0" header="0.0" left="0.75" right="0.75" top="1.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44.86"/>
    <col customWidth="1" min="3" max="3" width="41.43"/>
    <col customWidth="1" min="4" max="4" width="17.86"/>
    <col customWidth="1" min="5" max="5" width="63.0"/>
    <col customWidth="1" min="6" max="6" width="11.43"/>
    <col customWidth="1" min="7" max="7" width="284.86"/>
    <col customWidth="1" min="8" max="26" width="8.71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5" t="s">
        <v>10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 t="s">
        <v>25</v>
      </c>
      <c r="B2" s="11" t="s">
        <v>25</v>
      </c>
      <c r="C2" s="10" t="str">
        <f>IFERROR(VLOOKUP(B2,TaiKhoan!$C:$I,3,0),"")</f>
        <v>150010000111</v>
      </c>
      <c r="D2" s="14">
        <v>500000.0</v>
      </c>
      <c r="E2" s="13" t="s">
        <v>37</v>
      </c>
      <c r="F2" s="11" t="s">
        <v>31</v>
      </c>
      <c r="G2" s="18" t="str">
        <f>if(A2&lt;&gt;"","https://img.vietqr.io/image/" &amp; VLOOKUP(B2, TaiKhoan!$C:$F, 4, 0) &amp; "-" &amp; C2 &amp; "-" &amp; F2 &amp; ".png?accountName=" &amp; ENCODEURL(VLOOKUP(B2, TaiKhoan!$C:$E, 2, 0)) &amp; "&amp;amount=" &amp; D2&amp;"&amp;addInfo="&amp;ENCODEURL(E2),"")</f>
        <v>https://img.vietqr.io/image/ICB-150010000111-print.png?accountName=CONG%20TY%20TNHH%20GRAB&amp;amount=500000&amp;addInfo=9246061%20HUYNH%20TRAN%20TUAN%20KIET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3" t="s">
        <v>38</v>
      </c>
      <c r="B3" s="11" t="s">
        <v>39</v>
      </c>
      <c r="C3" s="10" t="str">
        <f>IFERROR(VLOOKUP(B3,TaiKhoan!$C:$I,3,0),"")</f>
        <v>9704229201938102578</v>
      </c>
      <c r="D3" s="14">
        <v>20000.0</v>
      </c>
      <c r="E3" s="13" t="s">
        <v>40</v>
      </c>
      <c r="F3" s="11" t="s">
        <v>31</v>
      </c>
      <c r="G3" s="18" t="str">
        <f>if(A3&lt;&gt;"","https://img.vietqr.io/image/" &amp; VLOOKUP(B3, TaiKhoan!$C:$F, 4, 0) &amp; "-" &amp; C3 &amp; "-" &amp; F3 &amp; ".png?accountName=" &amp; ENCODEURL(VLOOKUP(B3, TaiKhoan!$C:$E, 2, 0)) &amp; "&amp;amount=" &amp; D3&amp;"&amp;addInfo="&amp;ENCODEURL(E3),"")</f>
        <v>https://img.vietqr.io/image/MB-9704229201938102578-print.png?accountName=Huynh%20Tran%20Tuan%20Kiet&amp;amount=20000&amp;addInfo=Tuan%20Kiet%20Chuyen%20Tien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2" t="s">
        <v>42</v>
      </c>
      <c r="B4" s="11" t="s">
        <v>27</v>
      </c>
      <c r="C4" s="10" t="str">
        <f>IFERROR(VLOOKUP(B4,TaiKhoan!$C:$I,3,0),"")</f>
        <v>1031451081</v>
      </c>
      <c r="D4" s="29"/>
      <c r="E4" s="30"/>
      <c r="F4" s="11" t="s">
        <v>31</v>
      </c>
      <c r="G4" s="18" t="str">
        <f>if(A4&lt;&gt;"","https://img.vietqr.io/image/" &amp; VLOOKUP(B4, TaiKhoan!$C:$F, 4, 0) &amp; "-" &amp; C4 &amp; "-" &amp; F4 &amp; ".png?accountName=" &amp; ENCODEURL(VLOOKUP(B4, TaiKhoan!$C:$E, 2, 0)) &amp; "&amp;amount=" &amp; D4&amp;"&amp;addInfo="&amp;ENCODEURL(E4),"")</f>
        <v>https://img.vietqr.io/image/VCB-1031451081-print.png?accountName=Huynh%20Tran%20Tuan%20Kiet&amp;amount=&amp;addInfo=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0"/>
      <c r="B5" s="13"/>
      <c r="C5" s="10" t="str">
        <f>IFERROR(VLOOKUP(B5,TaiKhoan!$C:$I,3,0),"")</f>
        <v/>
      </c>
      <c r="D5" s="29"/>
      <c r="E5" s="30"/>
      <c r="F5" s="13"/>
      <c r="G5" s="38" t="str">
        <f>if(A5&lt;&gt;"","https://img.vietqr.io/image/" &amp; VLOOKUP(B5, TaiKhoan!$C:$F, 4, 0) &amp; "-" &amp; C5 &amp; "-" &amp; F5 &amp; ".png?accountName=" &amp; ENCODEURL(VLOOKUP(B5, TaiKhoan!$C:$E, 2, 0)) &amp; "&amp;amount=" &amp; D5&amp;"&amp;addInfo="&amp;ENCODEURL(E5),"")</f>
        <v/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0"/>
      <c r="B6" s="13"/>
      <c r="C6" s="10" t="str">
        <f>IFERROR(VLOOKUP(B6,TaiKhoan!$C:$I,3,0),"")</f>
        <v/>
      </c>
      <c r="D6" s="29"/>
      <c r="E6" s="30"/>
      <c r="F6" s="13"/>
      <c r="G6" s="38" t="str">
        <f>if(A6&lt;&gt;"","https://img.vietqr.io/image/" &amp; VLOOKUP(B6, TaiKhoan!$C:$F, 4, 0) &amp; "-" &amp; C6 &amp; "-" &amp; F6 &amp; ".png?accountName=" &amp; ENCODEURL(VLOOKUP(B6, TaiKhoan!$C:$E, 2, 0)) &amp; "&amp;amount=" &amp; D6&amp;"&amp;addInfo="&amp;ENCODEURL(E6),"")</f>
        <v/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0"/>
      <c r="B7" s="13"/>
      <c r="C7" s="10" t="str">
        <f>IFERROR(VLOOKUP(B7,TaiKhoan!$C:$I,3,0),"")</f>
        <v/>
      </c>
      <c r="D7" s="29"/>
      <c r="E7" s="30"/>
      <c r="F7" s="13"/>
      <c r="G7" s="38" t="str">
        <f>if(A7&lt;&gt;"","https://img.vietqr.io/image/" &amp; VLOOKUP(B7, TaiKhoan!$C:$F, 4, 0) &amp; "-" &amp; C7 &amp; "-" &amp; F7 &amp; ".png?accountName=" &amp; ENCODEURL(VLOOKUP(B7, TaiKhoan!$C:$E, 2, 0)) &amp; "&amp;amount=" &amp; D7&amp;"&amp;addInfo="&amp;ENCODEURL(E7),"")</f>
        <v/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30"/>
      <c r="B8" s="13"/>
      <c r="C8" s="10" t="str">
        <f>IFERROR(VLOOKUP(B8,TaiKhoan!$C:$I,3,0),"")</f>
        <v/>
      </c>
      <c r="D8" s="29"/>
      <c r="E8" s="30"/>
      <c r="F8" s="13"/>
      <c r="G8" s="38" t="str">
        <f>if(A8&lt;&gt;"","https://img.vietqr.io/image/" &amp; VLOOKUP(B8, TaiKhoan!$C:$F, 4, 0) &amp; "-" &amp; C8 &amp; "-" &amp; F8 &amp; ".png?accountName=" &amp; ENCODEURL(VLOOKUP(B8, TaiKhoan!$C:$E, 2, 0)) &amp; "&amp;amount=" &amp; D8&amp;"&amp;addInfo="&amp;ENCODEURL(E8),"")</f>
        <v/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0"/>
      <c r="B9" s="13"/>
      <c r="C9" s="10" t="str">
        <f>IFERROR(VLOOKUP(B9,TaiKhoan!$C:$I,3,0),"")</f>
        <v/>
      </c>
      <c r="D9" s="29"/>
      <c r="E9" s="30"/>
      <c r="F9" s="13"/>
      <c r="G9" s="38" t="str">
        <f>if(A9&lt;&gt;"","https://img.vietqr.io/image/" &amp; VLOOKUP(B9, TaiKhoan!$C:$F, 4, 0) &amp; "-" &amp; C9 &amp; "-" &amp; F9 &amp; ".png?accountName=" &amp; ENCODEURL(VLOOKUP(B9, TaiKhoan!$C:$E, 2, 0)) &amp; "&amp;amount=" &amp; D9&amp;"&amp;addInfo="&amp;ENCODEURL(E9),"")</f>
        <v/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30"/>
      <c r="B10" s="13"/>
      <c r="C10" s="10" t="str">
        <f>IFERROR(VLOOKUP(B10,TaiKhoan!$C:$I,3,0),"")</f>
        <v/>
      </c>
      <c r="D10" s="29"/>
      <c r="E10" s="30"/>
      <c r="F10" s="13"/>
      <c r="G10" s="38" t="str">
        <f>if(A10&lt;&gt;"","https://img.vietqr.io/image/" &amp; VLOOKUP(B10, TaiKhoan!$C:$F, 4, 0) &amp; "-" &amp; C10 &amp; "-" &amp; F10 &amp; ".png?accountName=" &amp; ENCODEURL(VLOOKUP(B10, TaiKhoan!$C:$E, 2, 0)) &amp; "&amp;amount=" &amp; D10&amp;"&amp;addInfo="&amp;ENCODEURL(E10),"")</f>
        <v/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30"/>
      <c r="B11" s="13"/>
      <c r="C11" s="10" t="str">
        <f>IFERROR(VLOOKUP(B11,TaiKhoan!$C:$I,3,0),"")</f>
        <v/>
      </c>
      <c r="D11" s="29"/>
      <c r="E11" s="30"/>
      <c r="F11" s="13"/>
      <c r="G11" s="38" t="str">
        <f>if(A11&lt;&gt;"","https://img.vietqr.io/image/" &amp; VLOOKUP(B11, TaiKhoan!$C:$F, 4, 0) &amp; "-" &amp; C11 &amp; "-" &amp; F11 &amp; ".png?accountName=" &amp; ENCODEURL(VLOOKUP(B11, TaiKhoan!$C:$E, 2, 0)) &amp; "&amp;amount=" &amp; D11&amp;"&amp;addInfo="&amp;ENCODEURL(E11),"")</f>
        <v/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30"/>
      <c r="B12" s="13"/>
      <c r="C12" s="10" t="str">
        <f>IFERROR(VLOOKUP(B12,TaiKhoan!$C:$I,3,0),"")</f>
        <v/>
      </c>
      <c r="D12" s="29"/>
      <c r="E12" s="30"/>
      <c r="F12" s="13"/>
      <c r="G12" s="38" t="str">
        <f>if(A12&lt;&gt;"","https://img.vietqr.io/image/" &amp; VLOOKUP(B12, TaiKhoan!$C:$F, 4, 0) &amp; "-" &amp; C12 &amp; "-" &amp; F12 &amp; ".png?accountName=" &amp; ENCODEURL(VLOOKUP(B12, TaiKhoan!$C:$E, 2, 0)) &amp; "&amp;amount=" &amp; D12&amp;"&amp;addInfo="&amp;ENCODEURL(E12),"")</f>
        <v/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30"/>
      <c r="B13" s="13"/>
      <c r="C13" s="10" t="str">
        <f>IFERROR(VLOOKUP(B13,TaiKhoan!$C:$I,3,0),"")</f>
        <v/>
      </c>
      <c r="D13" s="29"/>
      <c r="E13" s="30"/>
      <c r="F13" s="13"/>
      <c r="G13" s="38" t="str">
        <f>if(A13&lt;&gt;"","https://img.vietqr.io/image/" &amp; VLOOKUP(B13, TaiKhoan!$C:$F, 4, 0) &amp; "-" &amp; C13 &amp; "-" &amp; F13 &amp; ".png?accountName=" &amp; ENCODEURL(VLOOKUP(B13, TaiKhoan!$C:$E, 2, 0)) &amp; "&amp;amount=" &amp; D13&amp;"&amp;addInfo="&amp;ENCODEURL(E13),"")</f>
        <v/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30"/>
      <c r="B14" s="13"/>
      <c r="C14" s="10" t="str">
        <f>IFERROR(VLOOKUP(B14,TaiKhoan!$C:$I,3,0),"")</f>
        <v/>
      </c>
      <c r="D14" s="29"/>
      <c r="E14" s="30"/>
      <c r="F14" s="13"/>
      <c r="G14" s="38" t="str">
        <f>if(A14&lt;&gt;"","https://img.vietqr.io/image/" &amp; VLOOKUP(B14, TaiKhoan!$C:$F, 4, 0) &amp; "-" &amp; C14 &amp; "-" &amp; F14 &amp; ".png?accountName=" &amp; ENCODEURL(VLOOKUP(B14, TaiKhoan!$C:$E, 2, 0)) &amp; "&amp;amount=" &amp; D14&amp;"&amp;addInfo="&amp;ENCODEURL(E14),"")</f>
        <v/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30"/>
      <c r="B15" s="13"/>
      <c r="C15" s="10" t="str">
        <f>IFERROR(VLOOKUP(B15,TaiKhoan!$C:$I,3,0),"")</f>
        <v/>
      </c>
      <c r="D15" s="29"/>
      <c r="E15" s="30"/>
      <c r="F15" s="13"/>
      <c r="G15" s="38" t="str">
        <f>if(A15&lt;&gt;"","https://img.vietqr.io/image/" &amp; VLOOKUP(B15, TaiKhoan!$C:$F, 4, 0) &amp; "-" &amp; C15 &amp; "-" &amp; F15 &amp; ".png?accountName=" &amp; ENCODEURL(VLOOKUP(B15, TaiKhoan!$C:$E, 2, 0)) &amp; "&amp;amount=" &amp; D15&amp;"&amp;addInfo="&amp;ENCODEURL(E15),"")</f>
        <v/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30"/>
      <c r="B16" s="13"/>
      <c r="C16" s="10" t="str">
        <f>IFERROR(VLOOKUP(B16,TaiKhoan!$C:$I,3,0),"")</f>
        <v/>
      </c>
      <c r="D16" s="29"/>
      <c r="E16" s="30"/>
      <c r="F16" s="13"/>
      <c r="G16" s="38" t="str">
        <f>if(A16&lt;&gt;"","https://img.vietqr.io/image/" &amp; VLOOKUP(B16, TaiKhoan!$C:$F, 4, 0) &amp; "-" &amp; C16 &amp; "-" &amp; F16 &amp; ".png?accountName=" &amp; ENCODEURL(VLOOKUP(B16, TaiKhoan!$C:$E, 2, 0)) &amp; "&amp;amount=" &amp; D16&amp;"&amp;addInfo="&amp;ENCODEURL(E16),"")</f>
        <v/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30"/>
      <c r="B17" s="13"/>
      <c r="C17" s="10" t="str">
        <f>IFERROR(VLOOKUP(B17,TaiKhoan!$C:$I,3,0),"")</f>
        <v/>
      </c>
      <c r="D17" s="29"/>
      <c r="E17" s="30"/>
      <c r="F17" s="13"/>
      <c r="G17" s="38" t="str">
        <f>if(A17&lt;&gt;"","https://img.vietqr.io/image/" &amp; VLOOKUP(B17, TaiKhoan!$C:$F, 4, 0) &amp; "-" &amp; C17 &amp; "-" &amp; F17 &amp; ".png?accountName=" &amp; ENCODEURL(VLOOKUP(B17, TaiKhoan!$C:$E, 2, 0)) &amp; "&amp;amount=" &amp; D17&amp;"&amp;addInfo="&amp;ENCODEURL(E17),"")</f>
        <v/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30"/>
      <c r="B18" s="13"/>
      <c r="C18" s="10" t="str">
        <f>IFERROR(VLOOKUP(B18,TaiKhoan!$C:$I,3,0),"")</f>
        <v/>
      </c>
      <c r="D18" s="29"/>
      <c r="E18" s="30"/>
      <c r="F18" s="13"/>
      <c r="G18" s="38" t="str">
        <f>if(A18&lt;&gt;"","https://img.vietqr.io/image/" &amp; VLOOKUP(B18, TaiKhoan!$C:$F, 4, 0) &amp; "-" &amp; C18 &amp; "-" &amp; F18 &amp; ".png?accountName=" &amp; ENCODEURL(VLOOKUP(B18, TaiKhoan!$C:$E, 2, 0)) &amp; "&amp;amount=" &amp; D18&amp;"&amp;addInfo="&amp;ENCODEURL(E18),"")</f>
        <v/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30"/>
      <c r="B19" s="13"/>
      <c r="C19" s="10" t="str">
        <f>IFERROR(VLOOKUP(B19,TaiKhoan!$C:$I,3,0),"")</f>
        <v/>
      </c>
      <c r="D19" s="29"/>
      <c r="E19" s="30"/>
      <c r="F19" s="13"/>
      <c r="G19" s="38" t="str">
        <f>if(A19&lt;&gt;"","https://img.vietqr.io/image/" &amp; VLOOKUP(B19, TaiKhoan!$C:$F, 4, 0) &amp; "-" &amp; C19 &amp; "-" &amp; F19 &amp; ".png?accountName=" &amp; ENCODEURL(VLOOKUP(B19, TaiKhoan!$C:$E, 2, 0)) &amp; "&amp;amount=" &amp; D19&amp;"&amp;addInfo="&amp;ENCODEURL(E19),"")</f>
        <v/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30"/>
      <c r="B20" s="13"/>
      <c r="C20" s="10" t="str">
        <f>IFERROR(VLOOKUP(B20,TaiKhoan!$C:$I,3,0),"")</f>
        <v/>
      </c>
      <c r="D20" s="29"/>
      <c r="E20" s="30"/>
      <c r="F20" s="13"/>
      <c r="G20" s="38" t="str">
        <f>if(A20&lt;&gt;"","https://img.vietqr.io/image/" &amp; VLOOKUP(B20, TaiKhoan!$C:$F, 4, 0) &amp; "-" &amp; C20 &amp; "-" &amp; F20 &amp; ".png?accountName=" &amp; ENCODEURL(VLOOKUP(B20, TaiKhoan!$C:$E, 2, 0)) &amp; "&amp;amount=" &amp; D20&amp;"&amp;addInfo="&amp;ENCODEURL(E20),"")</f>
        <v/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ErrorMessage="1" sqref="B2:B20">
      <formula1>TaiKhoan!$C$2:$C$20</formula1>
    </dataValidation>
    <dataValidation type="list" allowBlank="1" showErrorMessage="1" sqref="F2:F20">
      <formula1>MauHienThi!$A$2:$A$6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20.0"/>
    <col customWidth="1" min="3" max="3" width="27.43"/>
    <col customWidth="1" min="4" max="26" width="8.71"/>
  </cols>
  <sheetData>
    <row r="1">
      <c r="A1" s="2" t="s">
        <v>1</v>
      </c>
      <c r="B1" s="2" t="s">
        <v>8</v>
      </c>
      <c r="C1" s="2" t="s">
        <v>11</v>
      </c>
      <c r="D1" s="4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23</v>
      </c>
      <c r="B2" s="10" t="s">
        <v>24</v>
      </c>
      <c r="C2" s="12" t="b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26</v>
      </c>
      <c r="B3" s="10" t="s">
        <v>28</v>
      </c>
      <c r="C3" s="12" t="b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31</v>
      </c>
      <c r="B4" s="10" t="s">
        <v>32</v>
      </c>
      <c r="C4" s="12" t="b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33</v>
      </c>
      <c r="B5" s="10" t="s">
        <v>34</v>
      </c>
      <c r="C5" s="12" t="b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35</v>
      </c>
      <c r="B6" s="10" t="s">
        <v>36</v>
      </c>
      <c r="C6" s="12" t="b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C2:C6">
      <formula1>"FALSE,TRUE"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34.14"/>
    <col customWidth="1" min="3" max="3" width="24.0"/>
    <col customWidth="1" min="4" max="4" width="12.71"/>
    <col customWidth="1" min="5" max="5" width="30.57"/>
    <col customWidth="1" min="6" max="6" width="93.0"/>
    <col customWidth="1" min="7" max="7" width="33.0"/>
    <col customWidth="1" min="8" max="8" width="31.43"/>
    <col customWidth="1" min="9" max="9" width="30.57"/>
    <col customWidth="1" min="10" max="10" width="16.43"/>
    <col customWidth="1" min="11" max="11" width="19.29"/>
    <col customWidth="1" min="12" max="12" width="21.14"/>
  </cols>
  <sheetData>
    <row r="1">
      <c r="A1" s="53" t="s">
        <v>4</v>
      </c>
      <c r="B1" s="53" t="s">
        <v>0</v>
      </c>
      <c r="C1" s="53" t="s">
        <v>73</v>
      </c>
      <c r="D1" s="53" t="s">
        <v>74</v>
      </c>
      <c r="E1" s="53" t="s">
        <v>75</v>
      </c>
      <c r="F1" s="53" t="s">
        <v>76</v>
      </c>
      <c r="G1" s="53" t="s">
        <v>77</v>
      </c>
      <c r="H1" s="53" t="s">
        <v>78</v>
      </c>
      <c r="I1" s="53" t="s">
        <v>79</v>
      </c>
      <c r="J1" s="53" t="s">
        <v>80</v>
      </c>
      <c r="K1" s="53" t="s">
        <v>81</v>
      </c>
      <c r="L1" s="53" t="s">
        <v>82</v>
      </c>
      <c r="M1" s="9"/>
    </row>
    <row r="2">
      <c r="A2" s="54">
        <v>1.0</v>
      </c>
      <c r="B2" s="55" t="s">
        <v>83</v>
      </c>
      <c r="C2" s="55" t="s">
        <v>84</v>
      </c>
      <c r="D2" s="55">
        <v>970425.0</v>
      </c>
      <c r="E2" s="55" t="s">
        <v>85</v>
      </c>
      <c r="F2" s="56" t="s">
        <v>86</v>
      </c>
      <c r="G2" s="54">
        <v>1.0</v>
      </c>
      <c r="H2" s="54">
        <v>1.0</v>
      </c>
      <c r="I2" s="55" t="s">
        <v>85</v>
      </c>
      <c r="J2" s="54">
        <v>3.0</v>
      </c>
      <c r="K2" s="54">
        <v>1.0</v>
      </c>
      <c r="L2" s="55" t="s">
        <v>87</v>
      </c>
      <c r="M2" s="9"/>
    </row>
    <row r="3">
      <c r="A3" s="54">
        <v>2.0</v>
      </c>
      <c r="B3" s="55" t="s">
        <v>88</v>
      </c>
      <c r="C3" s="55" t="s">
        <v>89</v>
      </c>
      <c r="D3" s="55">
        <v>970416.0</v>
      </c>
      <c r="E3" s="55" t="s">
        <v>89</v>
      </c>
      <c r="F3" s="56" t="s">
        <v>90</v>
      </c>
      <c r="G3" s="54">
        <v>1.0</v>
      </c>
      <c r="H3" s="54">
        <v>1.0</v>
      </c>
      <c r="I3" s="55" t="s">
        <v>89</v>
      </c>
      <c r="J3" s="54">
        <v>3.0</v>
      </c>
      <c r="K3" s="54">
        <v>1.0</v>
      </c>
      <c r="L3" s="55" t="s">
        <v>91</v>
      </c>
      <c r="M3" s="9"/>
    </row>
    <row r="4">
      <c r="A4" s="54">
        <v>3.0</v>
      </c>
      <c r="B4" s="55" t="s">
        <v>92</v>
      </c>
      <c r="C4" s="55" t="s">
        <v>93</v>
      </c>
      <c r="D4" s="55">
        <v>970409.0</v>
      </c>
      <c r="E4" s="55" t="s">
        <v>94</v>
      </c>
      <c r="F4" s="56" t="s">
        <v>95</v>
      </c>
      <c r="G4" s="54">
        <v>1.0</v>
      </c>
      <c r="H4" s="54">
        <v>1.0</v>
      </c>
      <c r="I4" s="55" t="s">
        <v>94</v>
      </c>
      <c r="J4" s="54">
        <v>3.0</v>
      </c>
      <c r="K4" s="54">
        <v>1.0</v>
      </c>
      <c r="L4" s="55" t="s">
        <v>96</v>
      </c>
      <c r="M4" s="9"/>
    </row>
    <row r="5">
      <c r="A5" s="54">
        <v>4.0</v>
      </c>
      <c r="B5" s="55" t="s">
        <v>97</v>
      </c>
      <c r="C5" s="55" t="s">
        <v>98</v>
      </c>
      <c r="D5" s="55">
        <v>970418.0</v>
      </c>
      <c r="E5" s="55" t="s">
        <v>98</v>
      </c>
      <c r="F5" s="56" t="s">
        <v>99</v>
      </c>
      <c r="G5" s="54">
        <v>1.0</v>
      </c>
      <c r="H5" s="54">
        <v>1.0</v>
      </c>
      <c r="I5" s="55" t="s">
        <v>98</v>
      </c>
      <c r="J5" s="54">
        <v>3.0</v>
      </c>
      <c r="K5" s="54">
        <v>1.0</v>
      </c>
      <c r="L5" s="55" t="s">
        <v>100</v>
      </c>
      <c r="M5" s="9"/>
    </row>
    <row r="6">
      <c r="A6" s="54">
        <v>5.0</v>
      </c>
      <c r="B6" s="55" t="s">
        <v>101</v>
      </c>
      <c r="C6" s="55" t="s">
        <v>102</v>
      </c>
      <c r="D6" s="55">
        <v>970438.0</v>
      </c>
      <c r="E6" s="55" t="s">
        <v>103</v>
      </c>
      <c r="F6" s="56" t="s">
        <v>104</v>
      </c>
      <c r="G6" s="54">
        <v>1.0</v>
      </c>
      <c r="H6" s="54">
        <v>1.0</v>
      </c>
      <c r="I6" s="55" t="s">
        <v>103</v>
      </c>
      <c r="J6" s="54">
        <v>3.0</v>
      </c>
      <c r="K6" s="54">
        <v>1.0</v>
      </c>
      <c r="L6" s="55" t="s">
        <v>105</v>
      </c>
      <c r="M6" s="9"/>
    </row>
    <row r="7">
      <c r="A7" s="54">
        <v>6.0</v>
      </c>
      <c r="B7" s="55" t="s">
        <v>106</v>
      </c>
      <c r="C7" s="55" t="s">
        <v>107</v>
      </c>
      <c r="D7" s="55">
        <v>970444.0</v>
      </c>
      <c r="E7" s="55" t="s">
        <v>108</v>
      </c>
      <c r="F7" s="56" t="s">
        <v>109</v>
      </c>
      <c r="G7" s="54">
        <v>0.0</v>
      </c>
      <c r="H7" s="54">
        <v>1.0</v>
      </c>
      <c r="I7" s="55" t="s">
        <v>108</v>
      </c>
      <c r="J7" s="54">
        <v>0.0</v>
      </c>
      <c r="K7" s="54">
        <v>0.0</v>
      </c>
      <c r="L7" s="55" t="s">
        <v>110</v>
      </c>
      <c r="M7" s="9"/>
    </row>
    <row r="8">
      <c r="A8" s="54">
        <v>7.0</v>
      </c>
      <c r="B8" s="55" t="s">
        <v>111</v>
      </c>
      <c r="C8" s="55" t="s">
        <v>112</v>
      </c>
      <c r="D8" s="55">
        <v>422589.0</v>
      </c>
      <c r="E8" s="55" t="s">
        <v>112</v>
      </c>
      <c r="F8" s="56" t="s">
        <v>113</v>
      </c>
      <c r="G8" s="54">
        <v>1.0</v>
      </c>
      <c r="H8" s="54">
        <v>1.0</v>
      </c>
      <c r="I8" s="55" t="s">
        <v>112</v>
      </c>
      <c r="J8" s="54">
        <v>0.0</v>
      </c>
      <c r="K8" s="54">
        <v>1.0</v>
      </c>
      <c r="L8" s="55" t="s">
        <v>114</v>
      </c>
      <c r="M8" s="9"/>
    </row>
    <row r="9">
      <c r="A9" s="54">
        <v>8.0</v>
      </c>
      <c r="B9" s="55" t="s">
        <v>115</v>
      </c>
      <c r="C9" s="55" t="s">
        <v>116</v>
      </c>
      <c r="D9" s="55">
        <v>796500.0</v>
      </c>
      <c r="E9" s="55" t="s">
        <v>117</v>
      </c>
      <c r="F9" s="56" t="s">
        <v>118</v>
      </c>
      <c r="G9" s="54">
        <v>0.0</v>
      </c>
      <c r="H9" s="54">
        <v>0.0</v>
      </c>
      <c r="I9" s="55" t="s">
        <v>117</v>
      </c>
      <c r="J9" s="54">
        <v>0.0</v>
      </c>
      <c r="K9" s="54">
        <v>0.0</v>
      </c>
      <c r="L9" s="55" t="s">
        <v>119</v>
      </c>
      <c r="M9" s="9"/>
    </row>
    <row r="10">
      <c r="A10" s="54">
        <v>9.0</v>
      </c>
      <c r="B10" s="55" t="s">
        <v>120</v>
      </c>
      <c r="C10" s="55" t="s">
        <v>121</v>
      </c>
      <c r="D10" s="55">
        <v>970406.0</v>
      </c>
      <c r="E10" s="55" t="s">
        <v>121</v>
      </c>
      <c r="F10" s="56" t="s">
        <v>122</v>
      </c>
      <c r="G10" s="54">
        <v>0.0</v>
      </c>
      <c r="H10" s="54">
        <v>1.0</v>
      </c>
      <c r="I10" s="55" t="s">
        <v>121</v>
      </c>
      <c r="J10" s="54">
        <v>0.0</v>
      </c>
      <c r="K10" s="54">
        <v>0.0</v>
      </c>
      <c r="L10" s="55" t="s">
        <v>123</v>
      </c>
      <c r="M10" s="9"/>
    </row>
    <row r="11">
      <c r="A11" s="54">
        <v>10.0</v>
      </c>
      <c r="B11" s="55" t="s">
        <v>124</v>
      </c>
      <c r="C11" s="55" t="s">
        <v>125</v>
      </c>
      <c r="D11" s="55">
        <v>970431.0</v>
      </c>
      <c r="E11" s="55" t="s">
        <v>126</v>
      </c>
      <c r="F11" s="56" t="s">
        <v>127</v>
      </c>
      <c r="G11" s="54">
        <v>1.0</v>
      </c>
      <c r="H11" s="54">
        <v>1.0</v>
      </c>
      <c r="I11" s="55" t="s">
        <v>126</v>
      </c>
      <c r="J11" s="54">
        <v>3.0</v>
      </c>
      <c r="K11" s="54">
        <v>1.0</v>
      </c>
      <c r="L11" s="55" t="s">
        <v>128</v>
      </c>
      <c r="M11" s="9"/>
    </row>
    <row r="12">
      <c r="A12" s="54">
        <v>11.0</v>
      </c>
      <c r="B12" s="55" t="s">
        <v>129</v>
      </c>
      <c r="C12" s="55" t="s">
        <v>130</v>
      </c>
      <c r="D12" s="55">
        <v>970408.0</v>
      </c>
      <c r="E12" s="55" t="s">
        <v>131</v>
      </c>
      <c r="F12" s="56" t="s">
        <v>132</v>
      </c>
      <c r="G12" s="54">
        <v>0.0</v>
      </c>
      <c r="H12" s="54">
        <v>1.0</v>
      </c>
      <c r="I12" s="55" t="s">
        <v>131</v>
      </c>
      <c r="J12" s="54">
        <v>0.0</v>
      </c>
      <c r="K12" s="54">
        <v>0.0</v>
      </c>
      <c r="L12" s="55" t="s">
        <v>133</v>
      </c>
      <c r="M12" s="9"/>
    </row>
    <row r="13">
      <c r="A13" s="54">
        <v>12.0</v>
      </c>
      <c r="B13" s="55" t="s">
        <v>134</v>
      </c>
      <c r="C13" s="55" t="s">
        <v>135</v>
      </c>
      <c r="D13" s="55">
        <v>970437.0</v>
      </c>
      <c r="E13" s="55" t="s">
        <v>136</v>
      </c>
      <c r="F13" s="56" t="s">
        <v>137</v>
      </c>
      <c r="G13" s="54">
        <v>1.0</v>
      </c>
      <c r="H13" s="54">
        <v>1.0</v>
      </c>
      <c r="I13" s="55" t="s">
        <v>136</v>
      </c>
      <c r="J13" s="54">
        <v>3.0</v>
      </c>
      <c r="K13" s="54">
        <v>1.0</v>
      </c>
      <c r="L13" s="55" t="s">
        <v>138</v>
      </c>
      <c r="M13" s="9"/>
    </row>
    <row r="14">
      <c r="A14" s="54">
        <v>13.0</v>
      </c>
      <c r="B14" s="55" t="s">
        <v>139</v>
      </c>
      <c r="C14" s="55" t="s">
        <v>140</v>
      </c>
      <c r="D14" s="55">
        <v>970442.0</v>
      </c>
      <c r="E14" s="55" t="s">
        <v>141</v>
      </c>
      <c r="F14" s="56" t="s">
        <v>142</v>
      </c>
      <c r="G14" s="54">
        <v>0.0</v>
      </c>
      <c r="H14" s="54">
        <v>1.0</v>
      </c>
      <c r="I14" s="55" t="s">
        <v>141</v>
      </c>
      <c r="J14" s="54">
        <v>0.0</v>
      </c>
      <c r="K14" s="54">
        <v>0.0</v>
      </c>
      <c r="L14" s="55" t="s">
        <v>143</v>
      </c>
      <c r="M14" s="9"/>
    </row>
    <row r="15">
      <c r="A15" s="54">
        <v>14.0</v>
      </c>
      <c r="B15" s="55" t="s">
        <v>144</v>
      </c>
      <c r="C15" s="55" t="s">
        <v>145</v>
      </c>
      <c r="D15" s="55">
        <v>458761.0</v>
      </c>
      <c r="E15" s="55" t="s">
        <v>145</v>
      </c>
      <c r="F15" s="56" t="s">
        <v>146</v>
      </c>
      <c r="G15" s="54">
        <v>0.0</v>
      </c>
      <c r="H15" s="54">
        <v>1.0</v>
      </c>
      <c r="I15" s="55" t="s">
        <v>145</v>
      </c>
      <c r="J15" s="54">
        <v>0.0</v>
      </c>
      <c r="K15" s="54">
        <v>0.0</v>
      </c>
      <c r="L15" s="55" t="s">
        <v>147</v>
      </c>
      <c r="M15" s="9"/>
    </row>
    <row r="16">
      <c r="A16" s="54">
        <v>15.0</v>
      </c>
      <c r="B16" s="55" t="s">
        <v>148</v>
      </c>
      <c r="C16" s="55" t="s">
        <v>149</v>
      </c>
      <c r="D16" s="55">
        <v>970455.0</v>
      </c>
      <c r="E16" s="55" t="s">
        <v>150</v>
      </c>
      <c r="F16" s="56" t="s">
        <v>151</v>
      </c>
      <c r="G16" s="54">
        <v>0.0</v>
      </c>
      <c r="H16" s="54">
        <v>0.0</v>
      </c>
      <c r="I16" s="55" t="s">
        <v>150</v>
      </c>
      <c r="J16" s="54">
        <v>0.0</v>
      </c>
      <c r="K16" s="54">
        <v>0.0</v>
      </c>
      <c r="L16" s="57"/>
      <c r="M16" s="9"/>
    </row>
    <row r="17">
      <c r="A17" s="54">
        <v>16.0</v>
      </c>
      <c r="B17" s="55" t="s">
        <v>152</v>
      </c>
      <c r="C17" s="55" t="s">
        <v>153</v>
      </c>
      <c r="D17" s="55">
        <v>970456.0</v>
      </c>
      <c r="E17" s="55" t="s">
        <v>154</v>
      </c>
      <c r="F17" s="56" t="s">
        <v>155</v>
      </c>
      <c r="G17" s="54">
        <v>0.0</v>
      </c>
      <c r="H17" s="54">
        <v>0.0</v>
      </c>
      <c r="I17" s="55" t="s">
        <v>154</v>
      </c>
      <c r="J17" s="54">
        <v>0.0</v>
      </c>
      <c r="K17" s="54">
        <v>0.0</v>
      </c>
      <c r="L17" s="57"/>
      <c r="M17" s="9"/>
    </row>
    <row r="18">
      <c r="A18" s="54">
        <v>17.0</v>
      </c>
      <c r="B18" s="55" t="s">
        <v>156</v>
      </c>
      <c r="C18" s="55" t="s">
        <v>157</v>
      </c>
      <c r="D18" s="55">
        <v>970415.0</v>
      </c>
      <c r="E18" s="55" t="s">
        <v>158</v>
      </c>
      <c r="F18" s="56" t="s">
        <v>159</v>
      </c>
      <c r="G18" s="54">
        <v>1.0</v>
      </c>
      <c r="H18" s="54">
        <v>1.0</v>
      </c>
      <c r="I18" s="55" t="s">
        <v>158</v>
      </c>
      <c r="J18" s="54">
        <v>3.0</v>
      </c>
      <c r="K18" s="54">
        <v>1.0</v>
      </c>
      <c r="L18" s="55" t="s">
        <v>160</v>
      </c>
      <c r="M18" s="9"/>
    </row>
    <row r="19">
      <c r="A19" s="54">
        <v>18.0</v>
      </c>
      <c r="B19" s="55" t="s">
        <v>161</v>
      </c>
      <c r="C19" s="55" t="s">
        <v>162</v>
      </c>
      <c r="D19" s="55">
        <v>970434.0</v>
      </c>
      <c r="E19" s="55" t="s">
        <v>163</v>
      </c>
      <c r="F19" s="56" t="s">
        <v>164</v>
      </c>
      <c r="G19" s="54">
        <v>0.0</v>
      </c>
      <c r="H19" s="54">
        <v>1.0</v>
      </c>
      <c r="I19" s="55" t="s">
        <v>163</v>
      </c>
      <c r="J19" s="54">
        <v>0.0</v>
      </c>
      <c r="K19" s="54">
        <v>0.0</v>
      </c>
      <c r="L19" s="57"/>
      <c r="M19" s="9"/>
    </row>
    <row r="20">
      <c r="A20" s="54">
        <v>19.0</v>
      </c>
      <c r="B20" s="55" t="s">
        <v>165</v>
      </c>
      <c r="C20" s="55" t="s">
        <v>166</v>
      </c>
      <c r="D20" s="55">
        <v>970452.0</v>
      </c>
      <c r="E20" s="55" t="s">
        <v>167</v>
      </c>
      <c r="F20" s="56" t="s">
        <v>168</v>
      </c>
      <c r="G20" s="54">
        <v>1.0</v>
      </c>
      <c r="H20" s="54">
        <v>1.0</v>
      </c>
      <c r="I20" s="55" t="s">
        <v>167</v>
      </c>
      <c r="J20" s="54">
        <v>3.0</v>
      </c>
      <c r="K20" s="54">
        <v>1.0</v>
      </c>
      <c r="L20" s="55" t="s">
        <v>169</v>
      </c>
      <c r="M20" s="9"/>
    </row>
    <row r="21">
      <c r="A21" s="54">
        <v>20.0</v>
      </c>
      <c r="B21" s="55" t="s">
        <v>170</v>
      </c>
      <c r="C21" s="55" t="s">
        <v>171</v>
      </c>
      <c r="D21" s="55">
        <v>970449.0</v>
      </c>
      <c r="E21" s="55" t="s">
        <v>172</v>
      </c>
      <c r="F21" s="56" t="s">
        <v>173</v>
      </c>
      <c r="G21" s="54">
        <v>1.0</v>
      </c>
      <c r="H21" s="54">
        <v>1.0</v>
      </c>
      <c r="I21" s="55" t="s">
        <v>172</v>
      </c>
      <c r="J21" s="54">
        <v>3.0</v>
      </c>
      <c r="K21" s="54">
        <v>1.0</v>
      </c>
      <c r="L21" s="55" t="s">
        <v>174</v>
      </c>
      <c r="M21" s="9"/>
    </row>
    <row r="22">
      <c r="A22" s="54">
        <v>21.0</v>
      </c>
      <c r="B22" s="55" t="s">
        <v>175</v>
      </c>
      <c r="C22" s="55" t="s">
        <v>176</v>
      </c>
      <c r="D22" s="55">
        <v>970422.0</v>
      </c>
      <c r="E22" s="55" t="s">
        <v>177</v>
      </c>
      <c r="F22" s="56" t="s">
        <v>178</v>
      </c>
      <c r="G22" s="54">
        <v>1.0</v>
      </c>
      <c r="H22" s="54">
        <v>1.0</v>
      </c>
      <c r="I22" s="55" t="s">
        <v>177</v>
      </c>
      <c r="J22" s="54">
        <v>3.0</v>
      </c>
      <c r="K22" s="54">
        <v>1.0</v>
      </c>
      <c r="L22" s="55" t="s">
        <v>179</v>
      </c>
      <c r="M22" s="9"/>
    </row>
    <row r="23">
      <c r="A23" s="54">
        <v>22.0</v>
      </c>
      <c r="B23" s="55" t="s">
        <v>180</v>
      </c>
      <c r="C23" s="55" t="s">
        <v>181</v>
      </c>
      <c r="D23" s="55">
        <v>970426.0</v>
      </c>
      <c r="E23" s="55" t="s">
        <v>181</v>
      </c>
      <c r="F23" s="56" t="s">
        <v>182</v>
      </c>
      <c r="G23" s="54">
        <v>1.0</v>
      </c>
      <c r="H23" s="54">
        <v>1.0</v>
      </c>
      <c r="I23" s="55" t="s">
        <v>181</v>
      </c>
      <c r="J23" s="54">
        <v>3.0</v>
      </c>
      <c r="K23" s="54">
        <v>1.0</v>
      </c>
      <c r="L23" s="55" t="s">
        <v>183</v>
      </c>
      <c r="M23" s="9"/>
    </row>
    <row r="24">
      <c r="A24" s="54">
        <v>23.0</v>
      </c>
      <c r="B24" s="55" t="s">
        <v>184</v>
      </c>
      <c r="C24" s="55" t="s">
        <v>185</v>
      </c>
      <c r="D24" s="55">
        <v>970428.0</v>
      </c>
      <c r="E24" s="55" t="s">
        <v>186</v>
      </c>
      <c r="F24" s="56" t="s">
        <v>187</v>
      </c>
      <c r="G24" s="54">
        <v>1.0</v>
      </c>
      <c r="H24" s="54">
        <v>1.0</v>
      </c>
      <c r="I24" s="55" t="s">
        <v>186</v>
      </c>
      <c r="J24" s="54">
        <v>3.0</v>
      </c>
      <c r="K24" s="54">
        <v>1.0</v>
      </c>
      <c r="L24" s="55" t="s">
        <v>188</v>
      </c>
      <c r="M24" s="9"/>
    </row>
    <row r="25">
      <c r="A25" s="54">
        <v>24.0</v>
      </c>
      <c r="B25" s="55" t="s">
        <v>189</v>
      </c>
      <c r="C25" s="55" t="s">
        <v>190</v>
      </c>
      <c r="D25" s="55">
        <v>970419.0</v>
      </c>
      <c r="E25" s="55" t="s">
        <v>190</v>
      </c>
      <c r="F25" s="56" t="s">
        <v>191</v>
      </c>
      <c r="G25" s="54">
        <v>1.0</v>
      </c>
      <c r="H25" s="54">
        <v>1.0</v>
      </c>
      <c r="I25" s="55" t="s">
        <v>190</v>
      </c>
      <c r="J25" s="54">
        <v>3.0</v>
      </c>
      <c r="K25" s="54">
        <v>1.0</v>
      </c>
      <c r="L25" s="55" t="s">
        <v>192</v>
      </c>
      <c r="M25" s="9"/>
    </row>
    <row r="26">
      <c r="A26" s="54">
        <v>25.0</v>
      </c>
      <c r="B26" s="55" t="s">
        <v>193</v>
      </c>
      <c r="C26" s="55" t="s">
        <v>194</v>
      </c>
      <c r="D26" s="55">
        <v>801011.0</v>
      </c>
      <c r="E26" s="55" t="s">
        <v>195</v>
      </c>
      <c r="F26" s="56" t="s">
        <v>196</v>
      </c>
      <c r="G26" s="54">
        <v>0.0</v>
      </c>
      <c r="H26" s="54">
        <v>0.0</v>
      </c>
      <c r="I26" s="55" t="s">
        <v>195</v>
      </c>
      <c r="J26" s="54">
        <v>0.0</v>
      </c>
      <c r="K26" s="54">
        <v>0.0</v>
      </c>
      <c r="L26" s="57"/>
      <c r="M26" s="9"/>
    </row>
    <row r="27">
      <c r="A27" s="54">
        <v>26.0</v>
      </c>
      <c r="B27" s="55" t="s">
        <v>197</v>
      </c>
      <c r="C27" s="55" t="s">
        <v>71</v>
      </c>
      <c r="D27" s="55">
        <v>970448.0</v>
      </c>
      <c r="E27" s="55" t="s">
        <v>71</v>
      </c>
      <c r="F27" s="56" t="s">
        <v>198</v>
      </c>
      <c r="G27" s="54">
        <v>1.0</v>
      </c>
      <c r="H27" s="54">
        <v>1.0</v>
      </c>
      <c r="I27" s="55" t="s">
        <v>71</v>
      </c>
      <c r="J27" s="54">
        <v>3.0</v>
      </c>
      <c r="K27" s="54">
        <v>1.0</v>
      </c>
      <c r="L27" s="55" t="s">
        <v>199</v>
      </c>
      <c r="M27" s="9"/>
    </row>
    <row r="28">
      <c r="A28" s="54">
        <v>27.0</v>
      </c>
      <c r="B28" s="55" t="s">
        <v>200</v>
      </c>
      <c r="C28" s="55" t="s">
        <v>201</v>
      </c>
      <c r="D28" s="55">
        <v>970414.0</v>
      </c>
      <c r="E28" s="55" t="s">
        <v>201</v>
      </c>
      <c r="F28" s="56" t="s">
        <v>202</v>
      </c>
      <c r="G28" s="54">
        <v>1.0</v>
      </c>
      <c r="H28" s="54">
        <v>1.0</v>
      </c>
      <c r="I28" s="55" t="s">
        <v>201</v>
      </c>
      <c r="J28" s="54">
        <v>3.0</v>
      </c>
      <c r="K28" s="54">
        <v>1.0</v>
      </c>
      <c r="L28" s="55" t="s">
        <v>203</v>
      </c>
      <c r="M28" s="9"/>
    </row>
    <row r="29">
      <c r="A29" s="54">
        <v>28.0</v>
      </c>
      <c r="B29" s="55" t="s">
        <v>204</v>
      </c>
      <c r="C29" s="55" t="s">
        <v>205</v>
      </c>
      <c r="D29" s="55">
        <v>970439.0</v>
      </c>
      <c r="E29" s="55" t="s">
        <v>206</v>
      </c>
      <c r="F29" s="56" t="s">
        <v>207</v>
      </c>
      <c r="G29" s="54">
        <v>0.0</v>
      </c>
      <c r="H29" s="54">
        <v>1.0</v>
      </c>
      <c r="I29" s="55" t="s">
        <v>206</v>
      </c>
      <c r="J29" s="54">
        <v>0.0</v>
      </c>
      <c r="K29" s="54">
        <v>0.0</v>
      </c>
      <c r="L29" s="55" t="s">
        <v>208</v>
      </c>
      <c r="M29" s="9"/>
    </row>
    <row r="30">
      <c r="A30" s="54">
        <v>29.0</v>
      </c>
      <c r="B30" s="55" t="s">
        <v>209</v>
      </c>
      <c r="C30" s="55" t="s">
        <v>210</v>
      </c>
      <c r="D30" s="55">
        <v>970430.0</v>
      </c>
      <c r="E30" s="55" t="s">
        <v>211</v>
      </c>
      <c r="F30" s="56" t="s">
        <v>212</v>
      </c>
      <c r="G30" s="54">
        <v>1.0</v>
      </c>
      <c r="H30" s="54">
        <v>1.0</v>
      </c>
      <c r="I30" s="55" t="s">
        <v>211</v>
      </c>
      <c r="J30" s="54">
        <v>3.0</v>
      </c>
      <c r="K30" s="54">
        <v>1.0</v>
      </c>
      <c r="L30" s="55" t="s">
        <v>213</v>
      </c>
      <c r="M30" s="9"/>
    </row>
    <row r="31">
      <c r="A31" s="54">
        <v>30.0</v>
      </c>
      <c r="B31" s="55" t="s">
        <v>214</v>
      </c>
      <c r="C31" s="55" t="s">
        <v>215</v>
      </c>
      <c r="D31" s="55">
        <v>970412.0</v>
      </c>
      <c r="E31" s="55" t="s">
        <v>216</v>
      </c>
      <c r="F31" s="56" t="s">
        <v>217</v>
      </c>
      <c r="G31" s="54">
        <v>1.0</v>
      </c>
      <c r="H31" s="54">
        <v>1.0</v>
      </c>
      <c r="I31" s="55" t="s">
        <v>216</v>
      </c>
      <c r="J31" s="54">
        <v>3.0</v>
      </c>
      <c r="K31" s="54">
        <v>1.0</v>
      </c>
      <c r="L31" s="55" t="s">
        <v>218</v>
      </c>
      <c r="M31" s="9"/>
    </row>
    <row r="32">
      <c r="A32" s="54">
        <v>31.0</v>
      </c>
      <c r="B32" s="55" t="s">
        <v>219</v>
      </c>
      <c r="C32" s="55" t="s">
        <v>220</v>
      </c>
      <c r="D32" s="55">
        <v>970429.0</v>
      </c>
      <c r="E32" s="55" t="s">
        <v>220</v>
      </c>
      <c r="F32" s="56" t="s">
        <v>221</v>
      </c>
      <c r="G32" s="54">
        <v>1.0</v>
      </c>
      <c r="H32" s="54">
        <v>1.0</v>
      </c>
      <c r="I32" s="55" t="s">
        <v>220</v>
      </c>
      <c r="J32" s="54">
        <v>3.0</v>
      </c>
      <c r="K32" s="54">
        <v>1.0</v>
      </c>
      <c r="L32" s="55" t="s">
        <v>222</v>
      </c>
      <c r="M32" s="9"/>
    </row>
    <row r="33">
      <c r="A33" s="54">
        <v>32.0</v>
      </c>
      <c r="B33" s="55" t="s">
        <v>223</v>
      </c>
      <c r="C33" s="55" t="s">
        <v>224</v>
      </c>
      <c r="D33" s="55">
        <v>970410.0</v>
      </c>
      <c r="E33" s="55" t="s">
        <v>225</v>
      </c>
      <c r="F33" s="56" t="s">
        <v>226</v>
      </c>
      <c r="G33" s="54">
        <v>0.0</v>
      </c>
      <c r="H33" s="54">
        <v>1.0</v>
      </c>
      <c r="I33" s="55" t="s">
        <v>225</v>
      </c>
      <c r="J33" s="54">
        <v>0.0</v>
      </c>
      <c r="K33" s="54">
        <v>0.0</v>
      </c>
      <c r="L33" s="55" t="s">
        <v>227</v>
      </c>
      <c r="M33" s="9"/>
    </row>
    <row r="34">
      <c r="A34" s="54">
        <v>33.0</v>
      </c>
      <c r="B34" s="55" t="s">
        <v>228</v>
      </c>
      <c r="C34" s="55" t="s">
        <v>229</v>
      </c>
      <c r="D34" s="55">
        <v>970440.0</v>
      </c>
      <c r="E34" s="55" t="s">
        <v>230</v>
      </c>
      <c r="F34" s="56" t="s">
        <v>231</v>
      </c>
      <c r="G34" s="54">
        <v>1.0</v>
      </c>
      <c r="H34" s="54">
        <v>1.0</v>
      </c>
      <c r="I34" s="55" t="s">
        <v>230</v>
      </c>
      <c r="J34" s="54">
        <v>3.0</v>
      </c>
      <c r="K34" s="54">
        <v>1.0</v>
      </c>
      <c r="L34" s="55" t="s">
        <v>232</v>
      </c>
      <c r="M34" s="9"/>
    </row>
    <row r="35">
      <c r="A35" s="54">
        <v>34.0</v>
      </c>
      <c r="B35" s="55" t="s">
        <v>233</v>
      </c>
      <c r="C35" s="55" t="s">
        <v>234</v>
      </c>
      <c r="D35" s="55">
        <v>970400.0</v>
      </c>
      <c r="E35" s="55" t="s">
        <v>235</v>
      </c>
      <c r="F35" s="56" t="s">
        <v>236</v>
      </c>
      <c r="G35" s="54">
        <v>1.0</v>
      </c>
      <c r="H35" s="54">
        <v>1.0</v>
      </c>
      <c r="I35" s="55" t="s">
        <v>235</v>
      </c>
      <c r="J35" s="54">
        <v>3.0</v>
      </c>
      <c r="K35" s="54">
        <v>1.0</v>
      </c>
      <c r="L35" s="55" t="s">
        <v>237</v>
      </c>
      <c r="M35" s="9"/>
    </row>
    <row r="36">
      <c r="A36" s="54">
        <v>35.0</v>
      </c>
      <c r="B36" s="55" t="s">
        <v>238</v>
      </c>
      <c r="C36" s="55" t="s">
        <v>239</v>
      </c>
      <c r="D36" s="55">
        <v>970443.0</v>
      </c>
      <c r="E36" s="55" t="s">
        <v>239</v>
      </c>
      <c r="F36" s="56" t="s">
        <v>240</v>
      </c>
      <c r="G36" s="54">
        <v>1.0</v>
      </c>
      <c r="H36" s="54">
        <v>1.0</v>
      </c>
      <c r="I36" s="55" t="s">
        <v>239</v>
      </c>
      <c r="J36" s="54">
        <v>3.0</v>
      </c>
      <c r="K36" s="54">
        <v>1.0</v>
      </c>
      <c r="L36" s="55" t="s">
        <v>241</v>
      </c>
      <c r="M36" s="9"/>
    </row>
    <row r="37">
      <c r="A37" s="54">
        <v>36.0</v>
      </c>
      <c r="B37" s="55" t="s">
        <v>242</v>
      </c>
      <c r="C37" s="55" t="s">
        <v>243</v>
      </c>
      <c r="D37" s="55">
        <v>970403.0</v>
      </c>
      <c r="E37" s="55" t="s">
        <v>244</v>
      </c>
      <c r="F37" s="56" t="s">
        <v>245</v>
      </c>
      <c r="G37" s="54">
        <v>1.0</v>
      </c>
      <c r="H37" s="54">
        <v>1.0</v>
      </c>
      <c r="I37" s="55" t="s">
        <v>244</v>
      </c>
      <c r="J37" s="54">
        <v>3.0</v>
      </c>
      <c r="K37" s="54">
        <v>1.0</v>
      </c>
      <c r="L37" s="55" t="s">
        <v>246</v>
      </c>
      <c r="M37" s="9"/>
    </row>
    <row r="38">
      <c r="A38" s="54">
        <v>37.0</v>
      </c>
      <c r="B38" s="55" t="s">
        <v>247</v>
      </c>
      <c r="C38" s="55" t="s">
        <v>248</v>
      </c>
      <c r="D38" s="55">
        <v>970424.0</v>
      </c>
      <c r="E38" s="55" t="s">
        <v>249</v>
      </c>
      <c r="F38" s="56" t="s">
        <v>250</v>
      </c>
      <c r="G38" s="54">
        <v>1.0</v>
      </c>
      <c r="H38" s="54">
        <v>1.0</v>
      </c>
      <c r="I38" s="55" t="s">
        <v>249</v>
      </c>
      <c r="J38" s="54">
        <v>3.0</v>
      </c>
      <c r="K38" s="54">
        <v>1.0</v>
      </c>
      <c r="L38" s="55" t="s">
        <v>251</v>
      </c>
      <c r="M38" s="9"/>
    </row>
    <row r="39">
      <c r="A39" s="54">
        <v>38.0</v>
      </c>
      <c r="B39" s="55" t="s">
        <v>252</v>
      </c>
      <c r="C39" s="55" t="s">
        <v>253</v>
      </c>
      <c r="D39" s="55">
        <v>970407.0</v>
      </c>
      <c r="E39" s="55" t="s">
        <v>12</v>
      </c>
      <c r="F39" s="56" t="s">
        <v>254</v>
      </c>
      <c r="G39" s="54">
        <v>1.0</v>
      </c>
      <c r="H39" s="54">
        <v>1.0</v>
      </c>
      <c r="I39" s="55" t="s">
        <v>12</v>
      </c>
      <c r="J39" s="54">
        <v>3.0</v>
      </c>
      <c r="K39" s="54">
        <v>1.0</v>
      </c>
      <c r="L39" s="55" t="s">
        <v>255</v>
      </c>
      <c r="M39" s="9"/>
    </row>
    <row r="40">
      <c r="A40" s="54">
        <v>39.0</v>
      </c>
      <c r="B40" s="55" t="s">
        <v>256</v>
      </c>
      <c r="C40" s="55" t="s">
        <v>257</v>
      </c>
      <c r="D40" s="55">
        <v>970423.0</v>
      </c>
      <c r="E40" s="55" t="s">
        <v>258</v>
      </c>
      <c r="F40" s="56" t="s">
        <v>259</v>
      </c>
      <c r="G40" s="54">
        <v>1.0</v>
      </c>
      <c r="H40" s="54">
        <v>1.0</v>
      </c>
      <c r="I40" s="55" t="s">
        <v>258</v>
      </c>
      <c r="J40" s="54">
        <v>3.0</v>
      </c>
      <c r="K40" s="54">
        <v>1.0</v>
      </c>
      <c r="L40" s="55" t="s">
        <v>260</v>
      </c>
      <c r="M40" s="9"/>
    </row>
    <row r="41">
      <c r="A41" s="54">
        <v>40.0</v>
      </c>
      <c r="B41" s="55" t="s">
        <v>261</v>
      </c>
      <c r="C41" s="55" t="s">
        <v>262</v>
      </c>
      <c r="D41" s="55">
        <v>970458.0</v>
      </c>
      <c r="E41" s="55" t="s">
        <v>263</v>
      </c>
      <c r="F41" s="56" t="s">
        <v>264</v>
      </c>
      <c r="G41" s="54">
        <v>0.0</v>
      </c>
      <c r="H41" s="54">
        <v>1.0</v>
      </c>
      <c r="I41" s="55" t="s">
        <v>263</v>
      </c>
      <c r="J41" s="54">
        <v>0.0</v>
      </c>
      <c r="K41" s="54">
        <v>0.0</v>
      </c>
      <c r="L41" s="57"/>
      <c r="M41" s="9"/>
    </row>
    <row r="42">
      <c r="A42" s="54">
        <v>41.0</v>
      </c>
      <c r="B42" s="55" t="s">
        <v>265</v>
      </c>
      <c r="C42" s="55" t="s">
        <v>266</v>
      </c>
      <c r="D42" s="55">
        <v>970427.0</v>
      </c>
      <c r="E42" s="55" t="s">
        <v>267</v>
      </c>
      <c r="F42" s="56" t="s">
        <v>268</v>
      </c>
      <c r="G42" s="54">
        <v>1.0</v>
      </c>
      <c r="H42" s="54">
        <v>1.0</v>
      </c>
      <c r="I42" s="55" t="s">
        <v>267</v>
      </c>
      <c r="J42" s="54">
        <v>3.0</v>
      </c>
      <c r="K42" s="54">
        <v>1.0</v>
      </c>
      <c r="L42" s="55" t="s">
        <v>269</v>
      </c>
      <c r="M42" s="9"/>
    </row>
    <row r="43">
      <c r="A43" s="54">
        <v>42.0</v>
      </c>
      <c r="B43" s="55" t="s">
        <v>270</v>
      </c>
      <c r="C43" s="55" t="s">
        <v>271</v>
      </c>
      <c r="D43" s="55">
        <v>970405.0</v>
      </c>
      <c r="E43" s="55" t="s">
        <v>272</v>
      </c>
      <c r="F43" s="56" t="s">
        <v>273</v>
      </c>
      <c r="G43" s="54">
        <v>1.0</v>
      </c>
      <c r="H43" s="54">
        <v>1.0</v>
      </c>
      <c r="I43" s="55" t="s">
        <v>272</v>
      </c>
      <c r="J43" s="54">
        <v>3.0</v>
      </c>
      <c r="K43" s="54">
        <v>1.0</v>
      </c>
      <c r="L43" s="55" t="s">
        <v>274</v>
      </c>
      <c r="M43" s="9"/>
    </row>
    <row r="44">
      <c r="A44" s="54">
        <v>43.0</v>
      </c>
      <c r="B44" s="55" t="s">
        <v>275</v>
      </c>
      <c r="C44" s="55" t="s">
        <v>276</v>
      </c>
      <c r="D44" s="55">
        <v>970436.0</v>
      </c>
      <c r="E44" s="55" t="s">
        <v>27</v>
      </c>
      <c r="F44" s="56" t="s">
        <v>277</v>
      </c>
      <c r="G44" s="54">
        <v>1.0</v>
      </c>
      <c r="H44" s="54">
        <v>1.0</v>
      </c>
      <c r="I44" s="55" t="s">
        <v>27</v>
      </c>
      <c r="J44" s="54">
        <v>3.0</v>
      </c>
      <c r="K44" s="54">
        <v>1.0</v>
      </c>
      <c r="L44" s="55" t="s">
        <v>278</v>
      </c>
      <c r="M44" s="9"/>
    </row>
    <row r="45">
      <c r="A45" s="54">
        <v>44.0</v>
      </c>
      <c r="B45" s="55" t="s">
        <v>279</v>
      </c>
      <c r="C45" s="55" t="s">
        <v>280</v>
      </c>
      <c r="D45" s="55">
        <v>970454.0</v>
      </c>
      <c r="E45" s="55" t="s">
        <v>281</v>
      </c>
      <c r="F45" s="56" t="s">
        <v>282</v>
      </c>
      <c r="G45" s="54">
        <v>1.0</v>
      </c>
      <c r="H45" s="54">
        <v>1.0</v>
      </c>
      <c r="I45" s="55" t="s">
        <v>281</v>
      </c>
      <c r="J45" s="54">
        <v>3.0</v>
      </c>
      <c r="K45" s="54">
        <v>1.0</v>
      </c>
      <c r="L45" s="55" t="s">
        <v>283</v>
      </c>
      <c r="M45" s="9"/>
    </row>
    <row r="46">
      <c r="A46" s="54">
        <v>45.0</v>
      </c>
      <c r="B46" s="55" t="s">
        <v>284</v>
      </c>
      <c r="C46" s="55" t="s">
        <v>285</v>
      </c>
      <c r="D46" s="55">
        <v>970441.0</v>
      </c>
      <c r="E46" s="55" t="s">
        <v>285</v>
      </c>
      <c r="F46" s="56" t="s">
        <v>286</v>
      </c>
      <c r="G46" s="54">
        <v>1.0</v>
      </c>
      <c r="H46" s="54">
        <v>1.0</v>
      </c>
      <c r="I46" s="55" t="s">
        <v>285</v>
      </c>
      <c r="J46" s="54">
        <v>3.0</v>
      </c>
      <c r="K46" s="54">
        <v>1.0</v>
      </c>
      <c r="L46" s="55" t="s">
        <v>287</v>
      </c>
      <c r="M46" s="9"/>
    </row>
    <row r="47">
      <c r="A47" s="54">
        <v>46.0</v>
      </c>
      <c r="B47" s="55" t="s">
        <v>288</v>
      </c>
      <c r="C47" s="55" t="s">
        <v>289</v>
      </c>
      <c r="D47" s="55">
        <v>970433.0</v>
      </c>
      <c r="E47" s="55" t="s">
        <v>290</v>
      </c>
      <c r="F47" s="56" t="s">
        <v>291</v>
      </c>
      <c r="G47" s="54">
        <v>1.0</v>
      </c>
      <c r="H47" s="54">
        <v>1.0</v>
      </c>
      <c r="I47" s="55" t="s">
        <v>290</v>
      </c>
      <c r="J47" s="54">
        <v>3.0</v>
      </c>
      <c r="K47" s="54">
        <v>1.0</v>
      </c>
      <c r="L47" s="55" t="s">
        <v>292</v>
      </c>
      <c r="M47" s="9"/>
    </row>
    <row r="48">
      <c r="A48" s="54">
        <v>47.0</v>
      </c>
      <c r="B48" s="55" t="s">
        <v>293</v>
      </c>
      <c r="C48" s="55" t="s">
        <v>294</v>
      </c>
      <c r="D48" s="55">
        <v>970432.0</v>
      </c>
      <c r="E48" s="55" t="s">
        <v>295</v>
      </c>
      <c r="F48" s="56" t="s">
        <v>296</v>
      </c>
      <c r="G48" s="54">
        <v>1.0</v>
      </c>
      <c r="H48" s="54">
        <v>1.0</v>
      </c>
      <c r="I48" s="55" t="s">
        <v>295</v>
      </c>
      <c r="J48" s="54">
        <v>3.0</v>
      </c>
      <c r="K48" s="54">
        <v>1.0</v>
      </c>
      <c r="L48" s="55" t="s">
        <v>297</v>
      </c>
      <c r="M48" s="9"/>
    </row>
    <row r="49">
      <c r="A49" s="54">
        <v>48.0</v>
      </c>
      <c r="B49" s="55" t="s">
        <v>298</v>
      </c>
      <c r="C49" s="55" t="s">
        <v>299</v>
      </c>
      <c r="D49" s="55">
        <v>970421.0</v>
      </c>
      <c r="E49" s="55" t="s">
        <v>299</v>
      </c>
      <c r="F49" s="56" t="s">
        <v>300</v>
      </c>
      <c r="G49" s="54">
        <v>0.0</v>
      </c>
      <c r="H49" s="54">
        <v>1.0</v>
      </c>
      <c r="I49" s="55" t="s">
        <v>299</v>
      </c>
      <c r="J49" s="54">
        <v>0.0</v>
      </c>
      <c r="K49" s="54">
        <v>0.0</v>
      </c>
      <c r="L49" s="57"/>
      <c r="M49" s="9"/>
    </row>
    <row r="50">
      <c r="A50" s="54">
        <v>49.0</v>
      </c>
      <c r="B50" s="55" t="s">
        <v>301</v>
      </c>
      <c r="C50" s="55" t="s">
        <v>302</v>
      </c>
      <c r="D50" s="55">
        <v>970457.0</v>
      </c>
      <c r="E50" s="55" t="s">
        <v>303</v>
      </c>
      <c r="F50" s="56" t="s">
        <v>304</v>
      </c>
      <c r="G50" s="54">
        <v>1.0</v>
      </c>
      <c r="H50" s="54">
        <v>1.0</v>
      </c>
      <c r="I50" s="55" t="s">
        <v>303</v>
      </c>
      <c r="J50" s="54">
        <v>0.0</v>
      </c>
      <c r="K50" s="54">
        <v>1.0</v>
      </c>
      <c r="L50" s="57"/>
      <c r="M50" s="9"/>
    </row>
    <row r="51">
      <c r="A51" s="54">
        <v>50.0</v>
      </c>
      <c r="B51" s="55" t="s">
        <v>305</v>
      </c>
      <c r="C51" s="55" t="s">
        <v>306</v>
      </c>
      <c r="D51" s="55">
        <v>970462.0</v>
      </c>
      <c r="E51" s="55" t="s">
        <v>307</v>
      </c>
      <c r="F51" s="56" t="s">
        <v>308</v>
      </c>
      <c r="G51" s="54">
        <v>0.0</v>
      </c>
      <c r="H51" s="54">
        <v>0.0</v>
      </c>
      <c r="I51" s="55" t="s">
        <v>307</v>
      </c>
      <c r="J51" s="54">
        <v>0.0</v>
      </c>
      <c r="K51" s="54">
        <v>0.0</v>
      </c>
      <c r="L51" s="57"/>
      <c r="M51" s="9"/>
    </row>
    <row r="52">
      <c r="A52" s="54">
        <v>51.0</v>
      </c>
      <c r="B52" s="55" t="s">
        <v>309</v>
      </c>
      <c r="C52" s="55" t="s">
        <v>310</v>
      </c>
      <c r="D52" s="55">
        <v>970463.0</v>
      </c>
      <c r="E52" s="55" t="s">
        <v>311</v>
      </c>
      <c r="F52" s="56" t="s">
        <v>312</v>
      </c>
      <c r="G52" s="54">
        <v>0.0</v>
      </c>
      <c r="H52" s="54">
        <v>0.0</v>
      </c>
      <c r="I52" s="55" t="s">
        <v>311</v>
      </c>
      <c r="J52" s="54">
        <v>0.0</v>
      </c>
      <c r="K52" s="54">
        <v>0.0</v>
      </c>
      <c r="L52" s="57"/>
      <c r="M52" s="9"/>
    </row>
    <row r="53">
      <c r="A53" s="54">
        <v>52.0</v>
      </c>
      <c r="B53" s="55" t="s">
        <v>313</v>
      </c>
      <c r="C53" s="55" t="s">
        <v>314</v>
      </c>
      <c r="D53" s="55">
        <v>970446.0</v>
      </c>
      <c r="E53" s="55" t="s">
        <v>314</v>
      </c>
      <c r="F53" s="56" t="s">
        <v>315</v>
      </c>
      <c r="G53" s="54">
        <v>1.0</v>
      </c>
      <c r="H53" s="54">
        <v>1.0</v>
      </c>
      <c r="I53" s="55" t="s">
        <v>314</v>
      </c>
      <c r="J53" s="54">
        <v>3.0</v>
      </c>
      <c r="K53" s="54">
        <v>1.0</v>
      </c>
      <c r="L53" s="57"/>
      <c r="M53" s="9"/>
    </row>
    <row r="54">
      <c r="A54" s="54">
        <v>53.0</v>
      </c>
      <c r="B54" s="55" t="s">
        <v>316</v>
      </c>
      <c r="C54" s="55" t="s">
        <v>317</v>
      </c>
      <c r="D54" s="55">
        <v>546034.0</v>
      </c>
      <c r="E54" s="55" t="s">
        <v>317</v>
      </c>
      <c r="F54" s="56" t="s">
        <v>318</v>
      </c>
      <c r="G54" s="54">
        <v>1.0</v>
      </c>
      <c r="H54" s="54">
        <v>1.0</v>
      </c>
      <c r="I54" s="55" t="s">
        <v>317</v>
      </c>
      <c r="J54" s="54">
        <v>3.0</v>
      </c>
      <c r="K54" s="54">
        <v>1.0</v>
      </c>
      <c r="L54" s="57"/>
      <c r="M54" s="9"/>
    </row>
    <row r="55">
      <c r="A55" s="54">
        <v>54.0</v>
      </c>
      <c r="B55" s="55" t="s">
        <v>319</v>
      </c>
      <c r="C55" s="55" t="s">
        <v>320</v>
      </c>
      <c r="D55" s="55">
        <v>546035.0</v>
      </c>
      <c r="E55" s="55" t="s">
        <v>320</v>
      </c>
      <c r="F55" s="56" t="s">
        <v>321</v>
      </c>
      <c r="G55" s="54">
        <v>1.0</v>
      </c>
      <c r="H55" s="54">
        <v>1.0</v>
      </c>
      <c r="I55" s="55" t="s">
        <v>320</v>
      </c>
      <c r="J55" s="54">
        <v>3.0</v>
      </c>
      <c r="K55" s="54">
        <v>1.0</v>
      </c>
      <c r="L55" s="57"/>
      <c r="M55" s="9"/>
    </row>
    <row r="56">
      <c r="A56" s="54">
        <v>55.0</v>
      </c>
      <c r="B56" s="55" t="s">
        <v>322</v>
      </c>
      <c r="C56" s="55" t="s">
        <v>323</v>
      </c>
      <c r="D56" s="55">
        <v>668888.0</v>
      </c>
      <c r="E56" s="55" t="s">
        <v>323</v>
      </c>
      <c r="F56" s="56" t="s">
        <v>324</v>
      </c>
      <c r="G56" s="54">
        <v>1.0</v>
      </c>
      <c r="H56" s="54">
        <v>1.0</v>
      </c>
      <c r="I56" s="55" t="s">
        <v>323</v>
      </c>
      <c r="J56" s="54">
        <v>3.0</v>
      </c>
      <c r="K56" s="54">
        <v>1.0</v>
      </c>
      <c r="L56" s="55" t="s">
        <v>325</v>
      </c>
      <c r="M56" s="9"/>
    </row>
    <row r="57">
      <c r="A57" s="54">
        <v>56.0</v>
      </c>
      <c r="B57" s="55" t="s">
        <v>326</v>
      </c>
      <c r="C57" s="55" t="s">
        <v>327</v>
      </c>
      <c r="D57" s="55">
        <v>971011.0</v>
      </c>
      <c r="E57" s="55" t="s">
        <v>328</v>
      </c>
      <c r="F57" s="56" t="s">
        <v>329</v>
      </c>
      <c r="G57" s="54">
        <v>0.0</v>
      </c>
      <c r="H57" s="54">
        <v>1.0</v>
      </c>
      <c r="I57" s="55" t="s">
        <v>328</v>
      </c>
      <c r="J57" s="54">
        <v>0.0</v>
      </c>
      <c r="K57" s="54">
        <v>0.0</v>
      </c>
      <c r="L57" s="57"/>
      <c r="M57" s="9"/>
    </row>
    <row r="58">
      <c r="A58" s="54">
        <v>57.0</v>
      </c>
      <c r="B58" s="55" t="s">
        <v>330</v>
      </c>
      <c r="C58" s="55" t="s">
        <v>331</v>
      </c>
      <c r="D58" s="55">
        <v>971005.0</v>
      </c>
      <c r="E58" s="55" t="s">
        <v>332</v>
      </c>
      <c r="F58" s="56" t="s">
        <v>333</v>
      </c>
      <c r="G58" s="54">
        <v>0.0</v>
      </c>
      <c r="H58" s="54">
        <v>1.0</v>
      </c>
      <c r="I58" s="55" t="s">
        <v>332</v>
      </c>
      <c r="J58" s="54">
        <v>0.0</v>
      </c>
      <c r="K58" s="54">
        <v>0.0</v>
      </c>
      <c r="L58" s="57"/>
      <c r="M58" s="9"/>
    </row>
    <row r="59">
      <c r="A59" s="54">
        <v>58.0</v>
      </c>
      <c r="B59" s="55" t="s">
        <v>334</v>
      </c>
      <c r="C59" s="55" t="s">
        <v>335</v>
      </c>
      <c r="D59" s="55">
        <v>963388.0</v>
      </c>
      <c r="E59" s="55" t="s">
        <v>336</v>
      </c>
      <c r="F59" s="56" t="s">
        <v>337</v>
      </c>
      <c r="G59" s="54">
        <v>1.0</v>
      </c>
      <c r="H59" s="54">
        <v>0.0</v>
      </c>
      <c r="I59" s="55" t="s">
        <v>336</v>
      </c>
      <c r="J59" s="54">
        <v>0.0</v>
      </c>
      <c r="K59" s="54">
        <v>1.0</v>
      </c>
      <c r="L59" s="57"/>
      <c r="M59" s="9"/>
    </row>
    <row r="60">
      <c r="A60" s="54">
        <v>59.0</v>
      </c>
      <c r="B60" s="55" t="s">
        <v>338</v>
      </c>
      <c r="C60" s="55" t="s">
        <v>339</v>
      </c>
      <c r="D60" s="55">
        <v>533948.0</v>
      </c>
      <c r="E60" s="55" t="s">
        <v>340</v>
      </c>
      <c r="F60" s="56" t="s">
        <v>341</v>
      </c>
      <c r="G60" s="54">
        <v>0.0</v>
      </c>
      <c r="H60" s="54">
        <v>0.0</v>
      </c>
      <c r="I60" s="55" t="s">
        <v>340</v>
      </c>
      <c r="J60" s="54">
        <v>0.0</v>
      </c>
      <c r="K60" s="54">
        <v>0.0</v>
      </c>
      <c r="L60" s="57"/>
      <c r="M60" s="9"/>
    </row>
    <row r="61">
      <c r="A61" s="54">
        <v>60.0</v>
      </c>
      <c r="B61" s="55" t="s">
        <v>342</v>
      </c>
      <c r="C61" s="55" t="s">
        <v>343</v>
      </c>
      <c r="D61" s="55">
        <v>970466.0</v>
      </c>
      <c r="E61" s="55" t="s">
        <v>344</v>
      </c>
      <c r="F61" s="56" t="s">
        <v>345</v>
      </c>
      <c r="G61" s="54">
        <v>0.0</v>
      </c>
      <c r="H61" s="54">
        <v>0.0</v>
      </c>
      <c r="I61" s="55" t="s">
        <v>344</v>
      </c>
      <c r="J61" s="54">
        <v>0.0</v>
      </c>
      <c r="K61" s="54">
        <v>0.0</v>
      </c>
      <c r="L61" s="57"/>
      <c r="M61" s="9"/>
    </row>
    <row r="62">
      <c r="A62" s="54">
        <v>61.0</v>
      </c>
      <c r="B62" s="55" t="s">
        <v>346</v>
      </c>
      <c r="C62" s="55" t="s">
        <v>347</v>
      </c>
      <c r="D62" s="55">
        <v>970467.0</v>
      </c>
      <c r="E62" s="55" t="s">
        <v>347</v>
      </c>
      <c r="F62" s="56" t="s">
        <v>348</v>
      </c>
      <c r="G62" s="54">
        <v>0.0</v>
      </c>
      <c r="H62" s="54">
        <v>0.0</v>
      </c>
      <c r="I62" s="55" t="s">
        <v>347</v>
      </c>
      <c r="J62" s="54">
        <v>0.0</v>
      </c>
      <c r="K62" s="54">
        <v>0.0</v>
      </c>
      <c r="L62" s="57"/>
      <c r="M62" s="9"/>
    </row>
    <row r="63">
      <c r="A63" s="54">
        <v>62.0</v>
      </c>
      <c r="B63" s="55" t="s">
        <v>349</v>
      </c>
      <c r="C63" s="55" t="s">
        <v>350</v>
      </c>
      <c r="D63" s="55">
        <v>977777.0</v>
      </c>
      <c r="E63" s="55" t="s">
        <v>350</v>
      </c>
      <c r="F63" s="56" t="s">
        <v>351</v>
      </c>
      <c r="G63" s="54">
        <v>0.0</v>
      </c>
      <c r="H63" s="54">
        <v>0.0</v>
      </c>
      <c r="I63" s="55" t="s">
        <v>350</v>
      </c>
      <c r="J63" s="54">
        <v>0.0</v>
      </c>
      <c r="K63" s="54">
        <v>0.0</v>
      </c>
      <c r="L63" s="57"/>
      <c r="M63" s="9"/>
    </row>
    <row r="64">
      <c r="A64" s="54">
        <v>63.0</v>
      </c>
      <c r="B64" s="55" t="s">
        <v>352</v>
      </c>
      <c r="C64" s="55" t="s">
        <v>353</v>
      </c>
      <c r="D64" s="55">
        <v>999888.0</v>
      </c>
      <c r="E64" s="55" t="s">
        <v>353</v>
      </c>
      <c r="F64" s="56" t="s">
        <v>354</v>
      </c>
      <c r="G64" s="54">
        <v>0.0</v>
      </c>
      <c r="H64" s="54">
        <v>0.0</v>
      </c>
      <c r="I64" s="55" t="s">
        <v>353</v>
      </c>
      <c r="J64" s="54">
        <v>0.0</v>
      </c>
      <c r="K64" s="54">
        <v>0.0</v>
      </c>
      <c r="L64" s="57"/>
      <c r="M64" s="9"/>
    </row>
    <row r="65">
      <c r="A65" s="54">
        <v>64.0</v>
      </c>
      <c r="B65" s="55" t="s">
        <v>355</v>
      </c>
      <c r="C65" s="55" t="s">
        <v>356</v>
      </c>
      <c r="D65" s="55">
        <v>971133.0</v>
      </c>
      <c r="E65" s="55" t="s">
        <v>357</v>
      </c>
      <c r="F65" s="56" t="s">
        <v>358</v>
      </c>
      <c r="G65" s="54">
        <v>1.0</v>
      </c>
      <c r="H65" s="54">
        <v>1.0</v>
      </c>
      <c r="I65" s="55" t="s">
        <v>357</v>
      </c>
      <c r="J65" s="54">
        <v>3.0</v>
      </c>
      <c r="K65" s="54">
        <v>1.0</v>
      </c>
      <c r="L65" s="55" t="s">
        <v>218</v>
      </c>
      <c r="M65" s="9"/>
    </row>
    <row r="66">
      <c r="A66" s="54">
        <v>65.0</v>
      </c>
      <c r="B66" s="55" t="s">
        <v>359</v>
      </c>
      <c r="C66" s="55" t="s">
        <v>360</v>
      </c>
      <c r="D66" s="55">
        <v>971025.0</v>
      </c>
      <c r="E66" s="55" t="s">
        <v>361</v>
      </c>
      <c r="F66" s="56" t="s">
        <v>362</v>
      </c>
      <c r="G66" s="54">
        <v>1.0</v>
      </c>
      <c r="H66" s="54">
        <v>1.0</v>
      </c>
      <c r="I66" s="55" t="s">
        <v>361</v>
      </c>
      <c r="J66" s="54">
        <v>3.0</v>
      </c>
      <c r="K66" s="54">
        <v>1.0</v>
      </c>
      <c r="L66" s="57"/>
      <c r="M66" s="9"/>
    </row>
  </sheetData>
  <autoFilter ref="$A$1:$Z$66">
    <sortState ref="A1:Z66">
      <sortCondition ref="A1:A66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</hyperlinks>
  <drawing r:id="rId66"/>
</worksheet>
</file>